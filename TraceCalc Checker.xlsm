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1234958\Desktop\"/>
    </mc:Choice>
  </mc:AlternateContent>
  <xr:revisionPtr revIDLastSave="0" documentId="13_ncr:1_{EC360EC4-3B8F-4C42-B1D5-9E46427A9F49}" xr6:coauthVersionLast="47" xr6:coauthVersionMax="47" xr10:uidLastSave="{00000000-0000-0000-0000-000000000000}"/>
  <bookViews>
    <workbookView xWindow="-28920" yWindow="-120" windowWidth="29040" windowHeight="15840" firstSheet="1" activeTab="1" xr2:uid="{4A1D23AA-566C-4547-9DB3-8E0D5A64218E}"/>
  </bookViews>
  <sheets>
    <sheet name="Total Check" sheetId="17" state="hidden" r:id="rId1"/>
    <sheet name="Circuit ID" sheetId="8" r:id="rId2"/>
    <sheet name="Area" sheetId="12" r:id="rId3"/>
    <sheet name="BOM" sheetId="19" state="hidden" r:id="rId4"/>
    <sheet name="Coords" sheetId="18" r:id="rId5"/>
    <sheet name="Path" sheetId="5" state="hidden" r:id="rId6"/>
  </sheets>
  <definedNames>
    <definedName name="ExternalData_1" localSheetId="1" hidden="1">'Circuit ID'!$A$1:$H$14</definedName>
    <definedName name="ExternalData_2" localSheetId="2" hidden="1">Area!$A$1:$G$55</definedName>
    <definedName name="ExternalData_3" localSheetId="4" hidden="1">Coords!$A$1:$L$55</definedName>
    <definedName name="ExternalData_4" localSheetId="3" hidden="1">BOM!$A$1:$J$325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8" l="1"/>
  <c r="G3" i="8"/>
  <c r="G4" i="8"/>
  <c r="G5" i="8"/>
  <c r="G6" i="8"/>
  <c r="G7" i="8"/>
  <c r="G8" i="8"/>
  <c r="G9" i="8"/>
  <c r="G10" i="8"/>
  <c r="G11" i="8"/>
  <c r="G12" i="8"/>
  <c r="G13" i="8"/>
  <c r="G14" i="8"/>
  <c r="I2" i="8"/>
  <c r="I3" i="8"/>
  <c r="I4" i="8"/>
  <c r="M4" i="8" s="1"/>
  <c r="I5" i="8"/>
  <c r="M5" i="8" s="1"/>
  <c r="I6" i="8"/>
  <c r="I7" i="8"/>
  <c r="I8" i="8"/>
  <c r="I9" i="8"/>
  <c r="I10" i="8"/>
  <c r="I11" i="8"/>
  <c r="M11" i="8" s="1"/>
  <c r="I12" i="8"/>
  <c r="I13" i="8"/>
  <c r="I14" i="8"/>
  <c r="J2" i="8"/>
  <c r="L3" i="8" s="1"/>
  <c r="N3" i="8" s="1"/>
  <c r="J3" i="8"/>
  <c r="J4" i="8"/>
  <c r="N4" i="8" s="1"/>
  <c r="J5" i="8"/>
  <c r="J6" i="8"/>
  <c r="J7" i="8"/>
  <c r="J8" i="8"/>
  <c r="L10" i="8" s="1"/>
  <c r="N10" i="8" s="1"/>
  <c r="J9" i="8"/>
  <c r="J10" i="8"/>
  <c r="J11" i="8"/>
  <c r="L14" i="8" s="1"/>
  <c r="J12" i="8"/>
  <c r="J13" i="8"/>
  <c r="J14" i="8"/>
  <c r="K2" i="8"/>
  <c r="K3" i="8"/>
  <c r="K4" i="8"/>
  <c r="K5" i="8"/>
  <c r="K6" i="8"/>
  <c r="K7" i="8"/>
  <c r="K8" i="8"/>
  <c r="K9" i="8"/>
  <c r="K10" i="8"/>
  <c r="K11" i="8"/>
  <c r="K12" i="8"/>
  <c r="K13" i="8"/>
  <c r="K14" i="8"/>
  <c r="L2" i="8"/>
  <c r="L4" i="8"/>
  <c r="L5" i="8"/>
  <c r="L6" i="8"/>
  <c r="L7" i="8"/>
  <c r="L8" i="8"/>
  <c r="L11" i="8"/>
  <c r="L12" i="8"/>
  <c r="M2" i="8"/>
  <c r="M3" i="8"/>
  <c r="M6" i="8"/>
  <c r="M7" i="8"/>
  <c r="M8" i="8"/>
  <c r="M9" i="8"/>
  <c r="M10" i="8"/>
  <c r="M13" i="8"/>
  <c r="M14" i="8"/>
  <c r="N2" i="8"/>
  <c r="N5" i="8"/>
  <c r="N6" i="8"/>
  <c r="N7" i="8"/>
  <c r="N8" i="8"/>
  <c r="N11" i="8"/>
  <c r="N12" i="8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M2" i="18"/>
  <c r="M3" i="18"/>
  <c r="M4" i="18"/>
  <c r="M5" i="18"/>
  <c r="M6" i="18"/>
  <c r="M7" i="18"/>
  <c r="M8" i="18"/>
  <c r="M9" i="18"/>
  <c r="M10" i="18"/>
  <c r="M11" i="18"/>
  <c r="M12" i="18"/>
  <c r="O12" i="18" s="1"/>
  <c r="M13" i="18"/>
  <c r="M14" i="18"/>
  <c r="M15" i="18"/>
  <c r="M16" i="18"/>
  <c r="M17" i="18"/>
  <c r="M18" i="18"/>
  <c r="M19" i="18"/>
  <c r="M20" i="18"/>
  <c r="M21" i="18"/>
  <c r="M22" i="18"/>
  <c r="M23" i="18"/>
  <c r="M24" i="18"/>
  <c r="O24" i="18" s="1"/>
  <c r="M25" i="18"/>
  <c r="M26" i="18"/>
  <c r="M27" i="18"/>
  <c r="M28" i="18"/>
  <c r="M29" i="18"/>
  <c r="M30" i="18"/>
  <c r="M31" i="18"/>
  <c r="M32" i="18"/>
  <c r="M33" i="18"/>
  <c r="M34" i="18"/>
  <c r="M35" i="18"/>
  <c r="M36" i="18"/>
  <c r="O36" i="18" s="1"/>
  <c r="M37" i="18"/>
  <c r="M38" i="18"/>
  <c r="M39" i="18"/>
  <c r="M40" i="18"/>
  <c r="M41" i="18"/>
  <c r="M42" i="18"/>
  <c r="M43" i="18"/>
  <c r="M44" i="18"/>
  <c r="M45" i="18"/>
  <c r="M46" i="18"/>
  <c r="M47" i="18"/>
  <c r="M48" i="18"/>
  <c r="O48" i="18" s="1"/>
  <c r="M49" i="18"/>
  <c r="M50" i="18"/>
  <c r="M51" i="18"/>
  <c r="M52" i="18"/>
  <c r="M53" i="18"/>
  <c r="M54" i="18"/>
  <c r="M55" i="18"/>
  <c r="N2" i="18"/>
  <c r="N3" i="18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K2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L2" i="19"/>
  <c r="L3" i="19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L48" i="19"/>
  <c r="L49" i="19"/>
  <c r="L50" i="19"/>
  <c r="L51" i="19"/>
  <c r="L52" i="19"/>
  <c r="L53" i="19"/>
  <c r="L54" i="19"/>
  <c r="L55" i="19"/>
  <c r="L56" i="19"/>
  <c r="L57" i="19"/>
  <c r="L58" i="19"/>
  <c r="L59" i="19"/>
  <c r="L60" i="19"/>
  <c r="L61" i="19"/>
  <c r="L62" i="19"/>
  <c r="L63" i="19"/>
  <c r="L64" i="19"/>
  <c r="L65" i="19"/>
  <c r="L66" i="19"/>
  <c r="L67" i="19"/>
  <c r="L68" i="19"/>
  <c r="L69" i="19"/>
  <c r="L70" i="19"/>
  <c r="L71" i="19"/>
  <c r="L72" i="19"/>
  <c r="L73" i="19"/>
  <c r="L74" i="19"/>
  <c r="L75" i="19"/>
  <c r="L76" i="19"/>
  <c r="L77" i="19"/>
  <c r="L78" i="19"/>
  <c r="L79" i="19"/>
  <c r="L80" i="19"/>
  <c r="L81" i="19"/>
  <c r="L82" i="19"/>
  <c r="L83" i="19"/>
  <c r="L84" i="19"/>
  <c r="L85" i="19"/>
  <c r="L86" i="19"/>
  <c r="L87" i="19"/>
  <c r="L88" i="19"/>
  <c r="L89" i="19"/>
  <c r="L90" i="19"/>
  <c r="L91" i="19"/>
  <c r="L92" i="19"/>
  <c r="L93" i="19"/>
  <c r="L94" i="19"/>
  <c r="L95" i="19"/>
  <c r="L96" i="19"/>
  <c r="L97" i="19"/>
  <c r="L98" i="19"/>
  <c r="L99" i="19"/>
  <c r="L100" i="19"/>
  <c r="L101" i="19"/>
  <c r="L102" i="19"/>
  <c r="L103" i="19"/>
  <c r="L104" i="19"/>
  <c r="L105" i="19"/>
  <c r="L106" i="19"/>
  <c r="L107" i="19"/>
  <c r="L108" i="19"/>
  <c r="L109" i="19"/>
  <c r="L110" i="19"/>
  <c r="L111" i="19"/>
  <c r="L112" i="19"/>
  <c r="L113" i="19"/>
  <c r="L114" i="19"/>
  <c r="L115" i="19"/>
  <c r="L116" i="19"/>
  <c r="L117" i="19"/>
  <c r="L118" i="19"/>
  <c r="L119" i="19"/>
  <c r="L120" i="19"/>
  <c r="L121" i="19"/>
  <c r="L122" i="19"/>
  <c r="L123" i="19"/>
  <c r="L124" i="19"/>
  <c r="L125" i="19"/>
  <c r="L126" i="19"/>
  <c r="L127" i="19"/>
  <c r="L128" i="19"/>
  <c r="L129" i="19"/>
  <c r="L130" i="19"/>
  <c r="L131" i="19"/>
  <c r="L132" i="19"/>
  <c r="L133" i="19"/>
  <c r="L134" i="19"/>
  <c r="L135" i="19"/>
  <c r="L136" i="19"/>
  <c r="L137" i="19"/>
  <c r="L138" i="19"/>
  <c r="L139" i="19"/>
  <c r="L140" i="19"/>
  <c r="L141" i="19"/>
  <c r="L142" i="19"/>
  <c r="L143" i="19"/>
  <c r="L144" i="19"/>
  <c r="L145" i="19"/>
  <c r="L146" i="19"/>
  <c r="L147" i="19"/>
  <c r="L148" i="19"/>
  <c r="L149" i="19"/>
  <c r="L150" i="19"/>
  <c r="L151" i="19"/>
  <c r="L152" i="19"/>
  <c r="L153" i="19"/>
  <c r="L154" i="19"/>
  <c r="L155" i="19"/>
  <c r="L156" i="19"/>
  <c r="L157" i="19"/>
  <c r="L158" i="19"/>
  <c r="L159" i="19"/>
  <c r="L160" i="19"/>
  <c r="L161" i="19"/>
  <c r="L162" i="19"/>
  <c r="L163" i="19"/>
  <c r="L164" i="19"/>
  <c r="L165" i="19"/>
  <c r="L166" i="19"/>
  <c r="L167" i="19"/>
  <c r="L168" i="19"/>
  <c r="L169" i="19"/>
  <c r="L170" i="19"/>
  <c r="L171" i="19"/>
  <c r="L172" i="19"/>
  <c r="L173" i="19"/>
  <c r="L174" i="19"/>
  <c r="L175" i="19"/>
  <c r="L176" i="19"/>
  <c r="L177" i="19"/>
  <c r="L178" i="19"/>
  <c r="L179" i="19"/>
  <c r="L180" i="19"/>
  <c r="L181" i="19"/>
  <c r="L182" i="19"/>
  <c r="L183" i="19"/>
  <c r="L184" i="19"/>
  <c r="L185" i="19"/>
  <c r="L186" i="19"/>
  <c r="L187" i="19"/>
  <c r="L188" i="19"/>
  <c r="L189" i="19"/>
  <c r="L190" i="19"/>
  <c r="L191" i="19"/>
  <c r="L192" i="19"/>
  <c r="L193" i="19"/>
  <c r="L194" i="19"/>
  <c r="L195" i="19"/>
  <c r="L196" i="19"/>
  <c r="L197" i="19"/>
  <c r="L198" i="19"/>
  <c r="L199" i="19"/>
  <c r="L200" i="19"/>
  <c r="L201" i="19"/>
  <c r="L202" i="19"/>
  <c r="L203" i="19"/>
  <c r="L204" i="19"/>
  <c r="L205" i="19"/>
  <c r="L206" i="19"/>
  <c r="L207" i="19"/>
  <c r="L208" i="19"/>
  <c r="L209" i="19"/>
  <c r="L210" i="19"/>
  <c r="L211" i="19"/>
  <c r="L212" i="19"/>
  <c r="L213" i="19"/>
  <c r="L214" i="19"/>
  <c r="L215" i="19"/>
  <c r="L216" i="19"/>
  <c r="L217" i="19"/>
  <c r="L218" i="19"/>
  <c r="L219" i="19"/>
  <c r="L220" i="19"/>
  <c r="L221" i="19"/>
  <c r="L222" i="19"/>
  <c r="L223" i="19"/>
  <c r="L224" i="19"/>
  <c r="L225" i="19"/>
  <c r="L226" i="19"/>
  <c r="L227" i="19"/>
  <c r="L228" i="19"/>
  <c r="L229" i="19"/>
  <c r="L230" i="19"/>
  <c r="L231" i="19"/>
  <c r="L232" i="19"/>
  <c r="L233" i="19"/>
  <c r="L234" i="19"/>
  <c r="L235" i="19"/>
  <c r="L236" i="19"/>
  <c r="L237" i="19"/>
  <c r="L238" i="19"/>
  <c r="L239" i="19"/>
  <c r="L240" i="19"/>
  <c r="L241" i="19"/>
  <c r="L242" i="19"/>
  <c r="L243" i="19"/>
  <c r="L244" i="19"/>
  <c r="L245" i="19"/>
  <c r="L246" i="19"/>
  <c r="L247" i="19"/>
  <c r="L248" i="19"/>
  <c r="L249" i="19"/>
  <c r="L250" i="19"/>
  <c r="L251" i="19"/>
  <c r="L252" i="19"/>
  <c r="L253" i="19"/>
  <c r="L254" i="19"/>
  <c r="L255" i="19"/>
  <c r="L256" i="19"/>
  <c r="L257" i="19"/>
  <c r="L258" i="19"/>
  <c r="L259" i="19"/>
  <c r="L260" i="19"/>
  <c r="L261" i="19"/>
  <c r="L262" i="19"/>
  <c r="L263" i="19"/>
  <c r="L264" i="19"/>
  <c r="L265" i="19"/>
  <c r="L266" i="19"/>
  <c r="L267" i="19"/>
  <c r="L268" i="19"/>
  <c r="L269" i="19"/>
  <c r="L270" i="19"/>
  <c r="L271" i="19"/>
  <c r="L272" i="19"/>
  <c r="L273" i="19"/>
  <c r="L274" i="19"/>
  <c r="L275" i="19"/>
  <c r="L276" i="19"/>
  <c r="L277" i="19"/>
  <c r="L278" i="19"/>
  <c r="L279" i="19"/>
  <c r="L280" i="19"/>
  <c r="L281" i="19"/>
  <c r="L282" i="19"/>
  <c r="L283" i="19"/>
  <c r="L284" i="19"/>
  <c r="L285" i="19"/>
  <c r="L286" i="19"/>
  <c r="L287" i="19"/>
  <c r="L288" i="19"/>
  <c r="L289" i="19"/>
  <c r="L290" i="19"/>
  <c r="L291" i="19"/>
  <c r="L292" i="19"/>
  <c r="L293" i="19"/>
  <c r="L294" i="19"/>
  <c r="L295" i="19"/>
  <c r="L296" i="19"/>
  <c r="L297" i="19"/>
  <c r="L298" i="19"/>
  <c r="L299" i="19"/>
  <c r="L300" i="19"/>
  <c r="L301" i="19"/>
  <c r="L302" i="19"/>
  <c r="L303" i="19"/>
  <c r="L304" i="19"/>
  <c r="L305" i="19"/>
  <c r="L306" i="19"/>
  <c r="L307" i="19"/>
  <c r="L308" i="19"/>
  <c r="L309" i="19"/>
  <c r="L310" i="19"/>
  <c r="L311" i="19"/>
  <c r="L312" i="19"/>
  <c r="L313" i="19"/>
  <c r="L314" i="19"/>
  <c r="L315" i="19"/>
  <c r="L316" i="19"/>
  <c r="L317" i="19"/>
  <c r="L318" i="19"/>
  <c r="L319" i="19"/>
  <c r="L320" i="19"/>
  <c r="L321" i="19"/>
  <c r="L322" i="19"/>
  <c r="L323" i="19"/>
  <c r="L324" i="19"/>
  <c r="L325" i="19"/>
  <c r="M2" i="19"/>
  <c r="M3" i="19"/>
  <c r="M4" i="19"/>
  <c r="M5" i="19"/>
  <c r="M6" i="19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39" i="19"/>
  <c r="M40" i="19"/>
  <c r="M41" i="19"/>
  <c r="M42" i="19"/>
  <c r="M43" i="19"/>
  <c r="M44" i="19"/>
  <c r="M45" i="19"/>
  <c r="M46" i="19"/>
  <c r="M47" i="19"/>
  <c r="M48" i="19"/>
  <c r="M49" i="19"/>
  <c r="M50" i="19"/>
  <c r="M51" i="19"/>
  <c r="M52" i="19"/>
  <c r="M53" i="19"/>
  <c r="M54" i="19"/>
  <c r="M55" i="19"/>
  <c r="M56" i="19"/>
  <c r="M57" i="19"/>
  <c r="M58" i="19"/>
  <c r="M59" i="19"/>
  <c r="M60" i="19"/>
  <c r="M61" i="19"/>
  <c r="M62" i="19"/>
  <c r="M63" i="19"/>
  <c r="M64" i="19"/>
  <c r="M65" i="19"/>
  <c r="M66" i="19"/>
  <c r="M67" i="19"/>
  <c r="M68" i="19"/>
  <c r="M69" i="19"/>
  <c r="M70" i="19"/>
  <c r="M71" i="19"/>
  <c r="M72" i="19"/>
  <c r="M73" i="19"/>
  <c r="M74" i="19"/>
  <c r="M75" i="19"/>
  <c r="M76" i="19"/>
  <c r="M77" i="19"/>
  <c r="M78" i="19"/>
  <c r="M79" i="19"/>
  <c r="M80" i="19"/>
  <c r="M81" i="19"/>
  <c r="M82" i="19"/>
  <c r="M83" i="19"/>
  <c r="M84" i="19"/>
  <c r="M85" i="19"/>
  <c r="M86" i="19"/>
  <c r="M87" i="19"/>
  <c r="M88" i="19"/>
  <c r="M89" i="19"/>
  <c r="M90" i="19"/>
  <c r="M91" i="19"/>
  <c r="M92" i="19"/>
  <c r="M93" i="19"/>
  <c r="M94" i="19"/>
  <c r="M95" i="19"/>
  <c r="M96" i="19"/>
  <c r="M97" i="19"/>
  <c r="M98" i="19"/>
  <c r="M99" i="19"/>
  <c r="M100" i="19"/>
  <c r="M101" i="19"/>
  <c r="M102" i="19"/>
  <c r="M103" i="19"/>
  <c r="M104" i="19"/>
  <c r="M105" i="19"/>
  <c r="M106" i="19"/>
  <c r="M107" i="19"/>
  <c r="M108" i="19"/>
  <c r="M109" i="19"/>
  <c r="M110" i="19"/>
  <c r="M111" i="19"/>
  <c r="M112" i="19"/>
  <c r="M113" i="19"/>
  <c r="M114" i="19"/>
  <c r="M115" i="19"/>
  <c r="M116" i="19"/>
  <c r="M117" i="19"/>
  <c r="M118" i="19"/>
  <c r="M119" i="19"/>
  <c r="M120" i="19"/>
  <c r="M121" i="19"/>
  <c r="M122" i="19"/>
  <c r="M123" i="19"/>
  <c r="M124" i="19"/>
  <c r="M125" i="19"/>
  <c r="M126" i="19"/>
  <c r="M127" i="19"/>
  <c r="M128" i="19"/>
  <c r="M129" i="19"/>
  <c r="M130" i="19"/>
  <c r="M131" i="19"/>
  <c r="M132" i="19"/>
  <c r="M133" i="19"/>
  <c r="M134" i="19"/>
  <c r="M135" i="19"/>
  <c r="M136" i="19"/>
  <c r="M137" i="19"/>
  <c r="M138" i="19"/>
  <c r="M139" i="19"/>
  <c r="M140" i="19"/>
  <c r="M141" i="19"/>
  <c r="M142" i="19"/>
  <c r="M143" i="19"/>
  <c r="M144" i="19"/>
  <c r="M145" i="19"/>
  <c r="M146" i="19"/>
  <c r="M147" i="19"/>
  <c r="M148" i="19"/>
  <c r="M149" i="19"/>
  <c r="M150" i="19"/>
  <c r="M151" i="19"/>
  <c r="M152" i="19"/>
  <c r="M153" i="19"/>
  <c r="M154" i="19"/>
  <c r="M155" i="19"/>
  <c r="M156" i="19"/>
  <c r="M157" i="19"/>
  <c r="M158" i="19"/>
  <c r="M159" i="19"/>
  <c r="M160" i="19"/>
  <c r="M161" i="19"/>
  <c r="M162" i="19"/>
  <c r="M163" i="19"/>
  <c r="M164" i="19"/>
  <c r="M165" i="19"/>
  <c r="M166" i="19"/>
  <c r="M167" i="19"/>
  <c r="M168" i="19"/>
  <c r="M169" i="19"/>
  <c r="M170" i="19"/>
  <c r="M171" i="19"/>
  <c r="M172" i="19"/>
  <c r="M173" i="19"/>
  <c r="M174" i="19"/>
  <c r="M175" i="19"/>
  <c r="M176" i="19"/>
  <c r="M177" i="19"/>
  <c r="M178" i="19"/>
  <c r="M179" i="19"/>
  <c r="M180" i="19"/>
  <c r="M181" i="19"/>
  <c r="M182" i="19"/>
  <c r="M183" i="19"/>
  <c r="M184" i="19"/>
  <c r="M185" i="19"/>
  <c r="M186" i="19"/>
  <c r="M187" i="19"/>
  <c r="M188" i="19"/>
  <c r="M189" i="19"/>
  <c r="M190" i="19"/>
  <c r="M191" i="19"/>
  <c r="M192" i="19"/>
  <c r="M193" i="19"/>
  <c r="M194" i="19"/>
  <c r="M195" i="19"/>
  <c r="M196" i="19"/>
  <c r="M197" i="19"/>
  <c r="M198" i="19"/>
  <c r="M199" i="19"/>
  <c r="M200" i="19"/>
  <c r="M201" i="19"/>
  <c r="M202" i="19"/>
  <c r="M203" i="19"/>
  <c r="M204" i="19"/>
  <c r="M205" i="19"/>
  <c r="M206" i="19"/>
  <c r="M207" i="19"/>
  <c r="M208" i="19"/>
  <c r="M209" i="19"/>
  <c r="M210" i="19"/>
  <c r="M211" i="19"/>
  <c r="M212" i="19"/>
  <c r="M213" i="19"/>
  <c r="M214" i="19"/>
  <c r="M215" i="19"/>
  <c r="M216" i="19"/>
  <c r="M217" i="19"/>
  <c r="M218" i="19"/>
  <c r="M219" i="19"/>
  <c r="M220" i="19"/>
  <c r="M221" i="19"/>
  <c r="M222" i="19"/>
  <c r="M223" i="19"/>
  <c r="M224" i="19"/>
  <c r="M225" i="19"/>
  <c r="M226" i="19"/>
  <c r="M227" i="19"/>
  <c r="M228" i="19"/>
  <c r="M229" i="19"/>
  <c r="M230" i="19"/>
  <c r="M231" i="19"/>
  <c r="M232" i="19"/>
  <c r="M233" i="19"/>
  <c r="M234" i="19"/>
  <c r="M235" i="19"/>
  <c r="M236" i="19"/>
  <c r="M237" i="19"/>
  <c r="M238" i="19"/>
  <c r="M239" i="19"/>
  <c r="M240" i="19"/>
  <c r="M241" i="19"/>
  <c r="M242" i="19"/>
  <c r="M243" i="19"/>
  <c r="M244" i="19"/>
  <c r="M245" i="19"/>
  <c r="M246" i="19"/>
  <c r="M247" i="19"/>
  <c r="M248" i="19"/>
  <c r="M249" i="19"/>
  <c r="M250" i="19"/>
  <c r="M251" i="19"/>
  <c r="M252" i="19"/>
  <c r="M253" i="19"/>
  <c r="M254" i="19"/>
  <c r="M255" i="19"/>
  <c r="M256" i="19"/>
  <c r="M257" i="19"/>
  <c r="M258" i="19"/>
  <c r="M259" i="19"/>
  <c r="M260" i="19"/>
  <c r="M261" i="19"/>
  <c r="M262" i="19"/>
  <c r="M263" i="19"/>
  <c r="M264" i="19"/>
  <c r="M265" i="19"/>
  <c r="M266" i="19"/>
  <c r="M267" i="19"/>
  <c r="M268" i="19"/>
  <c r="M269" i="19"/>
  <c r="M270" i="19"/>
  <c r="M271" i="19"/>
  <c r="M272" i="19"/>
  <c r="M273" i="19"/>
  <c r="M274" i="19"/>
  <c r="M275" i="19"/>
  <c r="M276" i="19"/>
  <c r="M277" i="19"/>
  <c r="M278" i="19"/>
  <c r="M279" i="19"/>
  <c r="M280" i="19"/>
  <c r="M281" i="19"/>
  <c r="M282" i="19"/>
  <c r="M283" i="19"/>
  <c r="M284" i="19"/>
  <c r="M285" i="19"/>
  <c r="M286" i="19"/>
  <c r="M287" i="19"/>
  <c r="M288" i="19"/>
  <c r="M289" i="19"/>
  <c r="M290" i="19"/>
  <c r="M291" i="19"/>
  <c r="M292" i="19"/>
  <c r="M293" i="19"/>
  <c r="M294" i="19"/>
  <c r="M295" i="19"/>
  <c r="M296" i="19"/>
  <c r="M297" i="19"/>
  <c r="M298" i="19"/>
  <c r="M299" i="19"/>
  <c r="M300" i="19"/>
  <c r="M301" i="19"/>
  <c r="M302" i="19"/>
  <c r="M303" i="19"/>
  <c r="M304" i="19"/>
  <c r="M305" i="19"/>
  <c r="M306" i="19"/>
  <c r="M307" i="19"/>
  <c r="M308" i="19"/>
  <c r="M309" i="19"/>
  <c r="M310" i="19"/>
  <c r="M311" i="19"/>
  <c r="M312" i="19"/>
  <c r="M313" i="19"/>
  <c r="M314" i="19"/>
  <c r="M315" i="19"/>
  <c r="M316" i="19"/>
  <c r="M317" i="19"/>
  <c r="M318" i="19"/>
  <c r="M319" i="19"/>
  <c r="M320" i="19"/>
  <c r="M321" i="19"/>
  <c r="M322" i="19"/>
  <c r="M323" i="19"/>
  <c r="M324" i="19"/>
  <c r="M325" i="19"/>
  <c r="N2" i="19" a="1"/>
  <c r="N2" i="19" s="1"/>
  <c r="N3" i="19" a="1"/>
  <c r="N3" i="19" s="1"/>
  <c r="N4" i="19" a="1"/>
  <c r="N4" i="19" s="1"/>
  <c r="N5" i="19" a="1"/>
  <c r="N5" i="19" s="1"/>
  <c r="N6" i="19" a="1"/>
  <c r="N6" i="19" s="1"/>
  <c r="N7" i="19" a="1"/>
  <c r="N7" i="19" s="1"/>
  <c r="N8" i="19" a="1"/>
  <c r="N8" i="19" s="1"/>
  <c r="N9" i="19" a="1"/>
  <c r="N9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 s="1"/>
  <c r="N23" i="19" a="1"/>
  <c r="N23" i="19" s="1"/>
  <c r="N24" i="19" a="1"/>
  <c r="N24" i="19" s="1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2" i="19" a="1"/>
  <c r="N32" i="19" s="1"/>
  <c r="N33" i="19" a="1"/>
  <c r="N33" i="19" s="1"/>
  <c r="N34" i="19" a="1"/>
  <c r="N34" i="19" s="1"/>
  <c r="N35" i="19" a="1"/>
  <c r="N35" i="19" s="1"/>
  <c r="N36" i="19" a="1"/>
  <c r="N36" i="19" s="1"/>
  <c r="N37" i="19" a="1"/>
  <c r="N37" i="19" s="1"/>
  <c r="N38" i="19" a="1"/>
  <c r="N38" i="19" s="1"/>
  <c r="N39" i="19" a="1"/>
  <c r="N39" i="19" s="1"/>
  <c r="N40" i="19" a="1"/>
  <c r="N40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N62" i="19" a="1"/>
  <c r="N62" i="19" s="1"/>
  <c r="N63" i="19" a="1"/>
  <c r="N63" i="19" s="1"/>
  <c r="N64" i="19" a="1"/>
  <c r="N64" i="19" s="1"/>
  <c r="N65" i="19" a="1"/>
  <c r="N65" i="19" s="1"/>
  <c r="N66" i="19" a="1"/>
  <c r="N66" i="19" s="1"/>
  <c r="N67" i="19" a="1"/>
  <c r="N67" i="19" s="1"/>
  <c r="N68" i="19" a="1"/>
  <c r="N68" i="19" s="1"/>
  <c r="N69" i="19" a="1"/>
  <c r="N69" i="19" s="1"/>
  <c r="N70" i="19" a="1"/>
  <c r="N70" i="19" s="1"/>
  <c r="N71" i="19" a="1"/>
  <c r="N71" i="19" s="1"/>
  <c r="N72" i="19" a="1"/>
  <c r="N72" i="19" s="1"/>
  <c r="N73" i="19" a="1"/>
  <c r="N73" i="19" s="1"/>
  <c r="N74" i="19" a="1"/>
  <c r="N74" i="19" s="1"/>
  <c r="N75" i="19" a="1"/>
  <c r="N75" i="19" s="1"/>
  <c r="N76" i="19" a="1"/>
  <c r="N76" i="19" s="1"/>
  <c r="N77" i="19" a="1"/>
  <c r="N77" i="19" s="1"/>
  <c r="N78" i="19" a="1"/>
  <c r="N78" i="19" s="1"/>
  <c r="N79" i="19" a="1"/>
  <c r="N79" i="19" s="1"/>
  <c r="N80" i="19" a="1"/>
  <c r="N80" i="19" s="1"/>
  <c r="N81" i="19" a="1"/>
  <c r="N81" i="19" s="1"/>
  <c r="N82" i="19" a="1"/>
  <c r="N82" i="19" s="1"/>
  <c r="N83" i="19" a="1"/>
  <c r="N83" i="19" s="1"/>
  <c r="N84" i="19" a="1"/>
  <c r="N84" i="19" s="1"/>
  <c r="N85" i="19" a="1"/>
  <c r="N85" i="19" s="1"/>
  <c r="N86" i="19" a="1"/>
  <c r="N86" i="19" s="1"/>
  <c r="N87" i="19" a="1"/>
  <c r="N87" i="19" s="1"/>
  <c r="N88" i="19" a="1"/>
  <c r="N88" i="19" s="1"/>
  <c r="N89" i="19" a="1"/>
  <c r="N89" i="19" s="1"/>
  <c r="N90" i="19" a="1"/>
  <c r="N90" i="19" s="1"/>
  <c r="N91" i="19" a="1"/>
  <c r="N91" i="19" s="1"/>
  <c r="N92" i="19" a="1"/>
  <c r="N92" i="19" s="1"/>
  <c r="N93" i="19" a="1"/>
  <c r="N93" i="19" s="1"/>
  <c r="N94" i="19" a="1"/>
  <c r="N94" i="19" s="1"/>
  <c r="N95" i="19" a="1"/>
  <c r="N95" i="19" s="1"/>
  <c r="N96" i="19" a="1"/>
  <c r="N96" i="19" s="1"/>
  <c r="N97" i="19" a="1"/>
  <c r="N97" i="19" s="1"/>
  <c r="N98" i="19" a="1"/>
  <c r="N98" i="19" s="1"/>
  <c r="N99" i="19" a="1"/>
  <c r="N99" i="19" s="1"/>
  <c r="N100" i="19" a="1"/>
  <c r="N100" i="19" s="1"/>
  <c r="N101" i="19" a="1"/>
  <c r="N101" i="19" s="1"/>
  <c r="N102" i="19" a="1"/>
  <c r="N102" i="19" s="1"/>
  <c r="N103" i="19" a="1"/>
  <c r="N103" i="19" s="1"/>
  <c r="N104" i="19" a="1"/>
  <c r="N104" i="19" s="1"/>
  <c r="N105" i="19" a="1"/>
  <c r="N105" i="19" s="1"/>
  <c r="N106" i="19" a="1"/>
  <c r="N106" i="19" s="1"/>
  <c r="N107" i="19" a="1"/>
  <c r="N107" i="19" s="1"/>
  <c r="N108" i="19" a="1"/>
  <c r="N108" i="19" s="1"/>
  <c r="N109" i="19" a="1"/>
  <c r="N109" i="19" s="1"/>
  <c r="N110" i="19" a="1"/>
  <c r="N110" i="19" s="1"/>
  <c r="N111" i="19" a="1"/>
  <c r="N111" i="19" s="1"/>
  <c r="N112" i="19" a="1"/>
  <c r="N112" i="19" s="1"/>
  <c r="N113" i="19" a="1"/>
  <c r="N113" i="19" s="1"/>
  <c r="N114" i="19" a="1"/>
  <c r="N114" i="19" s="1"/>
  <c r="N115" i="19" a="1"/>
  <c r="N115" i="19" s="1"/>
  <c r="N116" i="19" a="1"/>
  <c r="N116" i="19" s="1"/>
  <c r="N117" i="19" a="1"/>
  <c r="N117" i="19" s="1"/>
  <c r="N118" i="19" a="1"/>
  <c r="N118" i="19" s="1"/>
  <c r="N119" i="19" a="1"/>
  <c r="N119" i="19" s="1"/>
  <c r="N120" i="19" a="1"/>
  <c r="N120" i="19" s="1"/>
  <c r="N121" i="19" a="1"/>
  <c r="N121" i="19" s="1"/>
  <c r="N122" i="19" a="1"/>
  <c r="N122" i="19" s="1"/>
  <c r="N123" i="19" a="1"/>
  <c r="N123" i="19" s="1"/>
  <c r="N124" i="19" a="1"/>
  <c r="N124" i="19" s="1"/>
  <c r="N125" i="19" a="1"/>
  <c r="N125" i="19" s="1"/>
  <c r="N126" i="19" a="1"/>
  <c r="N126" i="19" s="1"/>
  <c r="N127" i="19" a="1"/>
  <c r="N127" i="19" s="1"/>
  <c r="N128" i="19" a="1"/>
  <c r="N128" i="19" s="1"/>
  <c r="N129" i="19" a="1"/>
  <c r="N129" i="19" s="1"/>
  <c r="N130" i="19" a="1"/>
  <c r="N130" i="19" s="1"/>
  <c r="N131" i="19" a="1"/>
  <c r="N131" i="19" s="1"/>
  <c r="N132" i="19" a="1"/>
  <c r="N132" i="19" s="1"/>
  <c r="N133" i="19" a="1"/>
  <c r="N133" i="19" s="1"/>
  <c r="N134" i="19" a="1"/>
  <c r="N134" i="19" s="1"/>
  <c r="N135" i="19" a="1"/>
  <c r="N135" i="19" s="1"/>
  <c r="N136" i="19" a="1"/>
  <c r="N136" i="19" s="1"/>
  <c r="N137" i="19" a="1"/>
  <c r="N137" i="19" s="1"/>
  <c r="N138" i="19" a="1"/>
  <c r="N138" i="19" s="1"/>
  <c r="N139" i="19" a="1"/>
  <c r="N139" i="19" s="1"/>
  <c r="N140" i="19" a="1"/>
  <c r="N140" i="19" s="1"/>
  <c r="N141" i="19" a="1"/>
  <c r="N141" i="19" s="1"/>
  <c r="N142" i="19" a="1"/>
  <c r="N142" i="19" s="1"/>
  <c r="N143" i="19" a="1"/>
  <c r="N143" i="19" s="1"/>
  <c r="N144" i="19" a="1"/>
  <c r="N144" i="19" s="1"/>
  <c r="N145" i="19" a="1"/>
  <c r="N145" i="19" s="1"/>
  <c r="N146" i="19" a="1"/>
  <c r="N146" i="19" s="1"/>
  <c r="N147" i="19" a="1"/>
  <c r="N147" i="19" s="1"/>
  <c r="N148" i="19" a="1"/>
  <c r="N148" i="19" s="1"/>
  <c r="N149" i="19" a="1"/>
  <c r="N149" i="19" s="1"/>
  <c r="N150" i="19" a="1"/>
  <c r="N150" i="19" s="1"/>
  <c r="N151" i="19" a="1"/>
  <c r="N151" i="19" s="1"/>
  <c r="N152" i="19" a="1"/>
  <c r="N152" i="19" s="1"/>
  <c r="N153" i="19" a="1"/>
  <c r="N153" i="19" s="1"/>
  <c r="N154" i="19" a="1"/>
  <c r="N154" i="19" s="1"/>
  <c r="N155" i="19" a="1"/>
  <c r="N155" i="19" s="1"/>
  <c r="N156" i="19" a="1"/>
  <c r="N156" i="19" s="1"/>
  <c r="N157" i="19" a="1"/>
  <c r="N157" i="19" s="1"/>
  <c r="N158" i="19" a="1"/>
  <c r="N158" i="19" s="1"/>
  <c r="N159" i="19" a="1"/>
  <c r="N159" i="19" s="1"/>
  <c r="N160" i="19" a="1"/>
  <c r="N160" i="19" s="1"/>
  <c r="N161" i="19" a="1"/>
  <c r="N161" i="19" s="1"/>
  <c r="N162" i="19" a="1"/>
  <c r="N162" i="19" s="1"/>
  <c r="N163" i="19" a="1"/>
  <c r="N163" i="19" s="1"/>
  <c r="N164" i="19" a="1"/>
  <c r="N164" i="19" s="1"/>
  <c r="N165" i="19" a="1"/>
  <c r="N165" i="19" s="1"/>
  <c r="N166" i="19" a="1"/>
  <c r="N166" i="19" s="1"/>
  <c r="N167" i="19" a="1"/>
  <c r="N167" i="19" s="1"/>
  <c r="N168" i="19" a="1"/>
  <c r="N168" i="19" s="1"/>
  <c r="N169" i="19" a="1"/>
  <c r="N169" i="19" s="1"/>
  <c r="N170" i="19" a="1"/>
  <c r="N170" i="19" s="1"/>
  <c r="N171" i="19" a="1"/>
  <c r="N171" i="19" s="1"/>
  <c r="N172" i="19" a="1"/>
  <c r="N172" i="19" s="1"/>
  <c r="N173" i="19" a="1"/>
  <c r="N173" i="19" s="1"/>
  <c r="N174" i="19" a="1"/>
  <c r="N174" i="19" s="1"/>
  <c r="N175" i="19" a="1"/>
  <c r="N175" i="19" s="1"/>
  <c r="N176" i="19" a="1"/>
  <c r="N176" i="19" s="1"/>
  <c r="N177" i="19" a="1"/>
  <c r="N177" i="19" s="1"/>
  <c r="N178" i="19" a="1"/>
  <c r="N178" i="19" s="1"/>
  <c r="N179" i="19" a="1"/>
  <c r="N179" i="19" s="1"/>
  <c r="N180" i="19" a="1"/>
  <c r="N180" i="19" s="1"/>
  <c r="N181" i="19" a="1"/>
  <c r="N181" i="19" s="1"/>
  <c r="N182" i="19" a="1"/>
  <c r="N182" i="19" s="1"/>
  <c r="N183" i="19" a="1"/>
  <c r="N183" i="19" s="1"/>
  <c r="N184" i="19" a="1"/>
  <c r="N184" i="19" s="1"/>
  <c r="N185" i="19" a="1"/>
  <c r="N185" i="19" s="1"/>
  <c r="N186" i="19" a="1"/>
  <c r="N186" i="19" s="1"/>
  <c r="N187" i="19" a="1"/>
  <c r="N187" i="19" s="1"/>
  <c r="N188" i="19" a="1"/>
  <c r="N188" i="19" s="1"/>
  <c r="N189" i="19" a="1"/>
  <c r="N189" i="19" s="1"/>
  <c r="N190" i="19" a="1"/>
  <c r="N190" i="19" s="1"/>
  <c r="N191" i="19" a="1"/>
  <c r="N191" i="19" s="1"/>
  <c r="N192" i="19" a="1"/>
  <c r="N192" i="19" s="1"/>
  <c r="N193" i="19" a="1"/>
  <c r="N193" i="19" s="1"/>
  <c r="N194" i="19" a="1"/>
  <c r="N194" i="19" s="1"/>
  <c r="N195" i="19" a="1"/>
  <c r="N195" i="19" s="1"/>
  <c r="N196" i="19" a="1"/>
  <c r="N196" i="19" s="1"/>
  <c r="N197" i="19" a="1"/>
  <c r="N197" i="19" s="1"/>
  <c r="N198" i="19" a="1"/>
  <c r="N198" i="19" s="1"/>
  <c r="N199" i="19" a="1"/>
  <c r="N199" i="19" s="1"/>
  <c r="N200" i="19" a="1"/>
  <c r="N200" i="19" s="1"/>
  <c r="N201" i="19" a="1"/>
  <c r="N201" i="19" s="1"/>
  <c r="N202" i="19" a="1"/>
  <c r="N202" i="19" s="1"/>
  <c r="N203" i="19" a="1"/>
  <c r="N203" i="19" s="1"/>
  <c r="N204" i="19" a="1"/>
  <c r="N204" i="19" s="1"/>
  <c r="N205" i="19" a="1"/>
  <c r="N205" i="19" s="1"/>
  <c r="N206" i="19" a="1"/>
  <c r="N206" i="19" s="1"/>
  <c r="N207" i="19" a="1"/>
  <c r="N207" i="19" s="1"/>
  <c r="N208" i="19" a="1"/>
  <c r="N208" i="19" s="1"/>
  <c r="N209" i="19" a="1"/>
  <c r="N209" i="19" s="1"/>
  <c r="N210" i="19" a="1"/>
  <c r="N210" i="19" s="1"/>
  <c r="N211" i="19" a="1"/>
  <c r="N211" i="19" s="1"/>
  <c r="N212" i="19" a="1"/>
  <c r="N212" i="19" s="1"/>
  <c r="N213" i="19" a="1"/>
  <c r="N213" i="19" s="1"/>
  <c r="N214" i="19" a="1"/>
  <c r="N214" i="19" s="1"/>
  <c r="N215" i="19" a="1"/>
  <c r="N215" i="19" s="1"/>
  <c r="N216" i="19" a="1"/>
  <c r="N216" i="19" s="1"/>
  <c r="N217" i="19" a="1"/>
  <c r="N217" i="19" s="1"/>
  <c r="N218" i="19" a="1"/>
  <c r="N218" i="19" s="1"/>
  <c r="N219" i="19" a="1"/>
  <c r="N219" i="19" s="1"/>
  <c r="N220" i="19" a="1"/>
  <c r="N220" i="19" s="1"/>
  <c r="N221" i="19" a="1"/>
  <c r="N221" i="19" s="1"/>
  <c r="N222" i="19" a="1"/>
  <c r="N222" i="19" s="1"/>
  <c r="N223" i="19" a="1"/>
  <c r="N223" i="19" s="1"/>
  <c r="N224" i="19" a="1"/>
  <c r="N224" i="19" s="1"/>
  <c r="N225" i="19" a="1"/>
  <c r="N225" i="19" s="1"/>
  <c r="N226" i="19" a="1"/>
  <c r="N226" i="19" s="1"/>
  <c r="N227" i="19" a="1"/>
  <c r="N227" i="19" s="1"/>
  <c r="N228" i="19" a="1"/>
  <c r="N228" i="19" s="1"/>
  <c r="N229" i="19" a="1"/>
  <c r="N229" i="19" s="1"/>
  <c r="N230" i="19" a="1"/>
  <c r="N230" i="19" s="1"/>
  <c r="N231" i="19" a="1"/>
  <c r="N231" i="19" s="1"/>
  <c r="N232" i="19" a="1"/>
  <c r="N232" i="19" s="1"/>
  <c r="N233" i="19" a="1"/>
  <c r="N233" i="19" s="1"/>
  <c r="N234" i="19" a="1"/>
  <c r="N234" i="19" s="1"/>
  <c r="N235" i="19" a="1"/>
  <c r="N235" i="19" s="1"/>
  <c r="N236" i="19" a="1"/>
  <c r="N236" i="19" s="1"/>
  <c r="N237" i="19" a="1"/>
  <c r="N237" i="19" s="1"/>
  <c r="N238" i="19" a="1"/>
  <c r="N238" i="19" s="1"/>
  <c r="N239" i="19" a="1"/>
  <c r="N239" i="19" s="1"/>
  <c r="N240" i="19" a="1"/>
  <c r="N240" i="19" s="1"/>
  <c r="N241" i="19" a="1"/>
  <c r="N241" i="19" s="1"/>
  <c r="N242" i="19" a="1"/>
  <c r="N242" i="19" s="1"/>
  <c r="N243" i="19" a="1"/>
  <c r="N243" i="19" s="1"/>
  <c r="N244" i="19" a="1"/>
  <c r="N244" i="19" s="1"/>
  <c r="N245" i="19" a="1"/>
  <c r="N245" i="19" s="1"/>
  <c r="N246" i="19" a="1"/>
  <c r="N246" i="19" s="1"/>
  <c r="N247" i="19" a="1"/>
  <c r="N247" i="19" s="1"/>
  <c r="N248" i="19" a="1"/>
  <c r="N248" i="19" s="1"/>
  <c r="N249" i="19" a="1"/>
  <c r="N249" i="19" s="1"/>
  <c r="N250" i="19" a="1"/>
  <c r="N250" i="19" s="1"/>
  <c r="N251" i="19" a="1"/>
  <c r="N251" i="19" s="1"/>
  <c r="N252" i="19" a="1"/>
  <c r="N252" i="19" s="1"/>
  <c r="N253" i="19" a="1"/>
  <c r="N253" i="19" s="1"/>
  <c r="N254" i="19" a="1"/>
  <c r="N254" i="19" s="1"/>
  <c r="N255" i="19" a="1"/>
  <c r="N255" i="19" s="1"/>
  <c r="N256" i="19" a="1"/>
  <c r="N256" i="19" s="1"/>
  <c r="N257" i="19" a="1"/>
  <c r="N257" i="19" s="1"/>
  <c r="N258" i="19" a="1"/>
  <c r="N258" i="19" s="1"/>
  <c r="N259" i="19" a="1"/>
  <c r="N259" i="19" s="1"/>
  <c r="N260" i="19" a="1"/>
  <c r="N260" i="19" s="1"/>
  <c r="N261" i="19" a="1"/>
  <c r="N261" i="19" s="1"/>
  <c r="N262" i="19" a="1"/>
  <c r="N262" i="19" s="1"/>
  <c r="N263" i="19" a="1"/>
  <c r="N263" i="19" s="1"/>
  <c r="N264" i="19" a="1"/>
  <c r="N264" i="19" s="1"/>
  <c r="N265" i="19" a="1"/>
  <c r="N265" i="19" s="1"/>
  <c r="N266" i="19" a="1"/>
  <c r="N266" i="19" s="1"/>
  <c r="N267" i="19" a="1"/>
  <c r="N267" i="19" s="1"/>
  <c r="N268" i="19" a="1"/>
  <c r="N268" i="19" s="1"/>
  <c r="N269" i="19" a="1"/>
  <c r="N269" i="19" s="1"/>
  <c r="N270" i="19" a="1"/>
  <c r="N270" i="19" s="1"/>
  <c r="N271" i="19" a="1"/>
  <c r="N271" i="19" s="1"/>
  <c r="N272" i="19" a="1"/>
  <c r="N272" i="19" s="1"/>
  <c r="N273" i="19" a="1"/>
  <c r="N273" i="19" s="1"/>
  <c r="N274" i="19" a="1"/>
  <c r="N274" i="19" s="1"/>
  <c r="N275" i="19" a="1"/>
  <c r="N275" i="19" s="1"/>
  <c r="N276" i="19" a="1"/>
  <c r="N276" i="19" s="1"/>
  <c r="N277" i="19" a="1"/>
  <c r="N277" i="19" s="1"/>
  <c r="N278" i="19" a="1"/>
  <c r="N278" i="19" s="1"/>
  <c r="N279" i="19" a="1"/>
  <c r="N279" i="19" s="1"/>
  <c r="N280" i="19" a="1"/>
  <c r="N280" i="19" s="1"/>
  <c r="N281" i="19" a="1"/>
  <c r="N281" i="19" s="1"/>
  <c r="N282" i="19" a="1"/>
  <c r="N282" i="19" s="1"/>
  <c r="N283" i="19" a="1"/>
  <c r="N283" i="19" s="1"/>
  <c r="N284" i="19" a="1"/>
  <c r="N284" i="19" s="1"/>
  <c r="N285" i="19" a="1"/>
  <c r="N285" i="19" s="1"/>
  <c r="N286" i="19" a="1"/>
  <c r="N286" i="19" s="1"/>
  <c r="N287" i="19" a="1"/>
  <c r="N287" i="19" s="1"/>
  <c r="N288" i="19" a="1"/>
  <c r="N288" i="19" s="1"/>
  <c r="N289" i="19" a="1"/>
  <c r="N289" i="19" s="1"/>
  <c r="N290" i="19" a="1"/>
  <c r="N290" i="19" s="1"/>
  <c r="N291" i="19" a="1"/>
  <c r="N291" i="19" s="1"/>
  <c r="N292" i="19" a="1"/>
  <c r="N292" i="19" s="1"/>
  <c r="N293" i="19" a="1"/>
  <c r="N293" i="19" s="1"/>
  <c r="N294" i="19" a="1"/>
  <c r="N294" i="19" s="1"/>
  <c r="N295" i="19" a="1"/>
  <c r="N295" i="19" s="1"/>
  <c r="N296" i="19" a="1"/>
  <c r="N296" i="19" s="1"/>
  <c r="N297" i="19" a="1"/>
  <c r="N297" i="19" s="1"/>
  <c r="N298" i="19" a="1"/>
  <c r="N298" i="19" s="1"/>
  <c r="N299" i="19" a="1"/>
  <c r="N299" i="19" s="1"/>
  <c r="N300" i="19" a="1"/>
  <c r="N300" i="19" s="1"/>
  <c r="N301" i="19" a="1"/>
  <c r="N301" i="19" s="1"/>
  <c r="N302" i="19" a="1"/>
  <c r="N302" i="19" s="1"/>
  <c r="N303" i="19" a="1"/>
  <c r="N303" i="19" s="1"/>
  <c r="N304" i="19" a="1"/>
  <c r="N304" i="19" s="1"/>
  <c r="N305" i="19" a="1"/>
  <c r="N305" i="19" s="1"/>
  <c r="N306" i="19" a="1"/>
  <c r="N306" i="19" s="1"/>
  <c r="N307" i="19" a="1"/>
  <c r="N307" i="19" s="1"/>
  <c r="N308" i="19" a="1"/>
  <c r="N308" i="19" s="1"/>
  <c r="N309" i="19" a="1"/>
  <c r="N309" i="19" s="1"/>
  <c r="N310" i="19" a="1"/>
  <c r="N310" i="19" s="1"/>
  <c r="N311" i="19" a="1"/>
  <c r="N311" i="19" s="1"/>
  <c r="N312" i="19" a="1"/>
  <c r="N312" i="19" s="1"/>
  <c r="N313" i="19" a="1"/>
  <c r="N313" i="19" s="1"/>
  <c r="N314" i="19" a="1"/>
  <c r="N314" i="19" s="1"/>
  <c r="N315" i="19" a="1"/>
  <c r="N315" i="19" s="1"/>
  <c r="N316" i="19" a="1"/>
  <c r="N316" i="19" s="1"/>
  <c r="N317" i="19" a="1"/>
  <c r="N317" i="19" s="1"/>
  <c r="N318" i="19" a="1"/>
  <c r="N318" i="19" s="1"/>
  <c r="N319" i="19" a="1"/>
  <c r="N319" i="19" s="1"/>
  <c r="N320" i="19" a="1"/>
  <c r="N320" i="19" s="1"/>
  <c r="N321" i="19" a="1"/>
  <c r="N321" i="19" s="1"/>
  <c r="N322" i="19" a="1"/>
  <c r="N322" i="19" s="1"/>
  <c r="N323" i="19" a="1"/>
  <c r="N323" i="19" s="1"/>
  <c r="N324" i="19" a="1"/>
  <c r="N324" i="19" s="1"/>
  <c r="N325" i="19" a="1"/>
  <c r="N325" i="19" s="1"/>
  <c r="L9" i="8" l="1"/>
  <c r="N9" i="8" s="1"/>
  <c r="N14" i="8"/>
  <c r="M12" i="8"/>
  <c r="L13" i="8"/>
  <c r="N13" i="8" s="1"/>
  <c r="O54" i="18"/>
  <c r="O2" i="18"/>
  <c r="O47" i="18"/>
  <c r="O49" i="18"/>
  <c r="O37" i="18"/>
  <c r="O25" i="18"/>
  <c r="O13" i="18"/>
  <c r="O11" i="18"/>
  <c r="O46" i="18"/>
  <c r="O34" i="18"/>
  <c r="O22" i="18"/>
  <c r="O10" i="18"/>
  <c r="O35" i="18"/>
  <c r="O45" i="18"/>
  <c r="O33" i="18"/>
  <c r="O21" i="18"/>
  <c r="O9" i="18"/>
  <c r="O23" i="18"/>
  <c r="O44" i="18"/>
  <c r="O32" i="18"/>
  <c r="O20" i="18"/>
  <c r="O8" i="18"/>
  <c r="O55" i="18"/>
  <c r="O43" i="18"/>
  <c r="O31" i="18"/>
  <c r="O19" i="18"/>
  <c r="O7" i="18"/>
  <c r="O42" i="18"/>
  <c r="O30" i="18"/>
  <c r="O18" i="18"/>
  <c r="O6" i="18"/>
  <c r="O53" i="18"/>
  <c r="O41" i="18"/>
  <c r="O29" i="18"/>
  <c r="O17" i="18"/>
  <c r="O5" i="18"/>
  <c r="O52" i="18"/>
  <c r="O40" i="18"/>
  <c r="O28" i="18"/>
  <c r="O16" i="18"/>
  <c r="O4" i="18"/>
  <c r="O51" i="18"/>
  <c r="O39" i="18"/>
  <c r="O27" i="18"/>
  <c r="O15" i="18"/>
  <c r="O3" i="18"/>
  <c r="O50" i="18"/>
  <c r="O38" i="18"/>
  <c r="O26" i="18"/>
  <c r="O14" i="18"/>
  <c r="L27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7B02EE-5A64-44E9-AD41-E7626609B740}" keepAlive="1" name="Query - AreaCheck" description="Connection to the 'AreaCheck' query in the workbook." type="5" refreshedVersion="7" saveData="1">
    <dbPr connection="Provider=Microsoft.Mashup.OleDb.1;Data Source=$Workbook$;Location=AreaCheck;Extended Properties=&quot;&quot;" command="SELECT * FROM [AreaCheck]"/>
  </connection>
  <connection id="2" xr16:uid="{A724C67B-7456-4D2A-9227-D7F230D65B3D}" keepAlive="1" name="Query - AreaNameList" description="Connection to the 'AreaNameList' query in the workbook." type="5" refreshedVersion="6" background="1" saveData="1">
    <dbPr connection="Provider=Microsoft.Mashup.OleDb.1;Data Source=$Workbook$;Location=AreaNameList;Extended Properties=&quot;&quot;" command="SELECT * FROM [AreaNameList]"/>
  </connection>
  <connection id="3" xr16:uid="{613EAF5C-D66C-4DDE-AA99-9026437D8039}" keepAlive="1" name="Query - BOM" description="Connection to the 'BOM' query in the workbook." type="5" refreshedVersion="6" background="1" saveData="1">
    <dbPr connection="Provider=Microsoft.Mashup.OleDb.1;Data Source=$Workbook$;Location=BOM;Extended Properties=&quot;&quot;" command="SELECT * FROM [BOM]"/>
  </connection>
  <connection id="4" xr16:uid="{FAAA1D1E-DC39-4159-85DB-0DDF8950AC2F}" keepAlive="1" name="Query - BOMCheck" description="Connection to the 'BOMCheck' query in the workbook." type="5" refreshedVersion="7" saveData="1">
    <dbPr connection="Provider=Microsoft.Mashup.OleDb.1;Data Source=$Workbook$;Location=BOMCheck;Extended Properties=&quot;&quot;" command="SELECT * FROM [BOMCheck]"/>
  </connection>
  <connection id="5" xr16:uid="{BA938A51-0945-4AC0-BB2A-FA6DBA2A58B4}" keepAlive="1" name="Query - CircuitIDCheck" description="Connection to the 'CircuitIDCheck' query in the workbook." type="5" refreshedVersion="7" background="1" saveData="1">
    <dbPr connection="Provider=Microsoft.Mashup.OleDb.1;Data Source=$Workbook$;Location=CircuitIDCheck;Extended Properties=&quot;&quot;" command="SELECT * FROM [CircuitIDCheck]"/>
  </connection>
  <connection id="6" xr16:uid="{86DF4ADB-B50D-465E-BC3A-F69E710FC698}" keepAlive="1" name="Query - CoordsCheck" description="Connection to the 'CoordsCheck' query in the workbook." type="5" refreshedVersion="7" background="1" saveData="1">
    <dbPr connection="Provider=Microsoft.Mashup.OleDb.1;Data Source=$Workbook$;Location=CoordsCheck;Extended Properties=&quot;&quot;" command="SELECT * FROM [CoordsCheck]"/>
  </connection>
  <connection id="7" xr16:uid="{CA309EB0-3536-43D3-ABF1-9FF4610DB59B}" keepAlive="1" name="Query - LineList" description="Connection to the 'LineList' query in the workbook." type="5" refreshedVersion="6" background="1" saveData="1">
    <dbPr connection="Provider=Microsoft.Mashup.OleDb.1;Data Source=$Workbook$;Location=LineList;Extended Properties=&quot;&quot;" command="SELECT * FROM [LineList]"/>
  </connection>
  <connection id="8" xr16:uid="{D26422DC-4A87-4325-BD43-EBC4F62ADF8D}" keepAlive="1" name="Query - LineListDxfData" description="Connection to the 'LineListDxfData' query in the workbook." type="5" refreshedVersion="6" background="1" saveData="1">
    <dbPr connection="Provider=Microsoft.Mashup.OleDb.1;Data Source=$Workbook$;Location=LineListDxfData;Extended Properties=&quot;&quot;" command="SELECT * FROM [LineListDxfData]"/>
  </connection>
  <connection id="9" xr16:uid="{CDAD1C3C-AEC8-494D-AC32-F3056D715C71}" keepAlive="1" name="Query - LineListEnvData" description="Connection to the 'LineListEnvData' query in the workbook." type="5" refreshedVersion="6" background="1" saveData="1">
    <dbPr connection="Provider=Microsoft.Mashup.OleDb.1;Data Source=$Workbook$;Location=LineListEnvData;Extended Properties=&quot;&quot;" command="SELECT * FROM [LineListEnvData]"/>
  </connection>
  <connection id="10" xr16:uid="{DA28D930-BE0C-4726-A4A2-7648AE582BB8}" keepAlive="1" name="Query - Structure" description="Connection to the 'Structure' query in the workbook." type="5" refreshedVersion="6" saveData="1">
    <dbPr connection="Provider=Microsoft.Mashup.OleDb.1;Data Source=$Workbook$;Location=Structure;Extended Properties=&quot;&quot;" command="SELECT * FROM [Structur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<sst xmlns="http://schemas.openxmlformats.org/spreadsheetml/2006/main" count="2100" uniqueCount="196">
  <si>
    <t>Power Parallel</t>
  </si>
  <si>
    <t>Power Parallel (parent control)</t>
  </si>
  <si>
    <t>Power Tee</t>
  </si>
  <si>
    <t>Power Splice</t>
  </si>
  <si>
    <t>Continuation</t>
  </si>
  <si>
    <t>Loop</t>
  </si>
  <si>
    <t>Slice End</t>
  </si>
  <si>
    <t>Slice Mid</t>
  </si>
  <si>
    <t>Tee mid</t>
  </si>
  <si>
    <t>Tee End</t>
  </si>
  <si>
    <t>LineType</t>
  </si>
  <si>
    <t>LineID</t>
  </si>
  <si>
    <t>Level</t>
  </si>
  <si>
    <t>Path</t>
  </si>
  <si>
    <t>Number</t>
  </si>
  <si>
    <t>Parent</t>
  </si>
  <si>
    <t>TraceCalc file version:</t>
  </si>
  <si>
    <t>2.14.00</t>
  </si>
  <si>
    <t>RecordID</t>
  </si>
  <si>
    <t>ParentID</t>
  </si>
  <si>
    <t>RootParentID</t>
  </si>
  <si>
    <t>CircuitID</t>
  </si>
  <si>
    <t>CircuitNumber</t>
  </si>
  <si>
    <t>WrongNumber</t>
  </si>
  <si>
    <t>Letter</t>
  </si>
  <si>
    <t>LetterFromParent</t>
  </si>
  <si>
    <t>WrongLetterFromParent(MATCH)</t>
  </si>
  <si>
    <t>SegemntType</t>
  </si>
  <si>
    <t>ParentCircuitID</t>
  </si>
  <si>
    <t>AreaName</t>
  </si>
  <si>
    <t>LineType.1</t>
  </si>
  <si>
    <t>Filled Area</t>
  </si>
  <si>
    <t>JBCoord1</t>
  </si>
  <si>
    <t>JBCoord2</t>
  </si>
  <si>
    <t>JBCoord3</t>
  </si>
  <si>
    <t>ThermostatCoord1</t>
  </si>
  <si>
    <t>ThermostatCoord2</t>
  </si>
  <si>
    <t>ThermostatCoord3</t>
  </si>
  <si>
    <t>CicuitNumber</t>
  </si>
  <si>
    <t>FilledCoords</t>
  </si>
  <si>
    <t>Check0coords</t>
  </si>
  <si>
    <t>CatalogNo</t>
  </si>
  <si>
    <t>QtyManual</t>
  </si>
  <si>
    <t>PSE-280</t>
  </si>
  <si>
    <t>GS-54</t>
  </si>
  <si>
    <t>PSE-090</t>
  </si>
  <si>
    <t>CitcuitNumber</t>
  </si>
  <si>
    <t>ProductType</t>
  </si>
  <si>
    <t>BOM Type</t>
  </si>
  <si>
    <t>End Seal</t>
  </si>
  <si>
    <t>SR Cable</t>
  </si>
  <si>
    <t>Power Box</t>
  </si>
  <si>
    <t>Sensor</t>
  </si>
  <si>
    <t>Straps</t>
  </si>
  <si>
    <t>Attachment</t>
  </si>
  <si>
    <t>EndsealCounter</t>
  </si>
  <si>
    <t>IekCounter</t>
  </si>
  <si>
    <t>BranchNames</t>
  </si>
  <si>
    <t>BranchName</t>
  </si>
  <si>
    <t>7300_FL_1</t>
  </si>
  <si>
    <t>11101</t>
  </si>
  <si>
    <t>7300</t>
  </si>
  <si>
    <t>7300_FL_1.1</t>
  </si>
  <si>
    <t>11102</t>
  </si>
  <si>
    <t>7300_FL_2</t>
  </si>
  <si>
    <t>11103</t>
  </si>
  <si>
    <t>7300_FL_3</t>
  </si>
  <si>
    <t>11104</t>
  </si>
  <si>
    <t>7300_FL_4</t>
  </si>
  <si>
    <t>11105</t>
  </si>
  <si>
    <t>7300_FL_5</t>
  </si>
  <si>
    <t>11106</t>
  </si>
  <si>
    <t>7300_FL_6</t>
  </si>
  <si>
    <t>11107</t>
  </si>
  <si>
    <t>7300_FL_7</t>
  </si>
  <si>
    <t>11108</t>
  </si>
  <si>
    <t>7300_FL_8</t>
  </si>
  <si>
    <t>11109</t>
  </si>
  <si>
    <t>7300_FL_9</t>
  </si>
  <si>
    <t>11110</t>
  </si>
  <si>
    <t>7300_FL_10</t>
  </si>
  <si>
    <t>11111</t>
  </si>
  <si>
    <t>7300_FL_11</t>
  </si>
  <si>
    <t>11112</t>
  </si>
  <si>
    <t>7300_FL_12</t>
  </si>
  <si>
    <t>11113</t>
  </si>
  <si>
    <t>7300_FL_13</t>
  </si>
  <si>
    <t>11114</t>
  </si>
  <si>
    <t>7300_FL_14</t>
  </si>
  <si>
    <t>11115</t>
  </si>
  <si>
    <t>7300_FL_15</t>
  </si>
  <si>
    <t>11116</t>
  </si>
  <si>
    <t>7300_FL_16</t>
  </si>
  <si>
    <t>11117</t>
  </si>
  <si>
    <t>7300_FL_17</t>
  </si>
  <si>
    <t>11118</t>
  </si>
  <si>
    <t>7300_FL_18</t>
  </si>
  <si>
    <t>11119</t>
  </si>
  <si>
    <t>7300_FL_19</t>
  </si>
  <si>
    <t>11120</t>
  </si>
  <si>
    <t>7300_FL_20</t>
  </si>
  <si>
    <t>11121</t>
  </si>
  <si>
    <t>7300_FL_21</t>
  </si>
  <si>
    <t>11122</t>
  </si>
  <si>
    <t>7300_FG_22</t>
  </si>
  <si>
    <t>11123</t>
  </si>
  <si>
    <t>7300_HCD_23</t>
  </si>
  <si>
    <t>11124</t>
  </si>
  <si>
    <t>7300_HCD_24</t>
  </si>
  <si>
    <t>11125</t>
  </si>
  <si>
    <t>7300_HCD_24.1</t>
  </si>
  <si>
    <t>11126</t>
  </si>
  <si>
    <t>11127</t>
  </si>
  <si>
    <t>7300_HCD_25</t>
  </si>
  <si>
    <t>11128</t>
  </si>
  <si>
    <t>7300_HCD_26</t>
  </si>
  <si>
    <t>11129</t>
  </si>
  <si>
    <t>7300_HCD_27</t>
  </si>
  <si>
    <t>11130</t>
  </si>
  <si>
    <t>7300_HCD_28</t>
  </si>
  <si>
    <t>11131</t>
  </si>
  <si>
    <t>7300_HCD_29</t>
  </si>
  <si>
    <t>11132</t>
  </si>
  <si>
    <t>7300_HCD_30</t>
  </si>
  <si>
    <t>11133</t>
  </si>
  <si>
    <t>7300_HCD_31</t>
  </si>
  <si>
    <t>11134</t>
  </si>
  <si>
    <t>7300_HCD_32</t>
  </si>
  <si>
    <t>11135</t>
  </si>
  <si>
    <t>7300_HCD_33</t>
  </si>
  <si>
    <t>11136</t>
  </si>
  <si>
    <t>7300_HCD_34</t>
  </si>
  <si>
    <t>11137</t>
  </si>
  <si>
    <t>7300_HCD_35</t>
  </si>
  <si>
    <t>11138</t>
  </si>
  <si>
    <t>7300_HCD_35.1</t>
  </si>
  <si>
    <t>11139</t>
  </si>
  <si>
    <t>11140</t>
  </si>
  <si>
    <t>7300_HCD_36</t>
  </si>
  <si>
    <t>11141</t>
  </si>
  <si>
    <t>7300_HCD_36.1</t>
  </si>
  <si>
    <t>11142</t>
  </si>
  <si>
    <t>11143</t>
  </si>
  <si>
    <t>7300_HCD_37</t>
  </si>
  <si>
    <t>11144</t>
  </si>
  <si>
    <t>7300_HCD_37.1</t>
  </si>
  <si>
    <t>11145</t>
  </si>
  <si>
    <t>11146</t>
  </si>
  <si>
    <t>7300_HCD_38</t>
  </si>
  <si>
    <t>11147</t>
  </si>
  <si>
    <t>7300_HCD_38.1</t>
  </si>
  <si>
    <t>11148</t>
  </si>
  <si>
    <t>11149</t>
  </si>
  <si>
    <t>7300_HCD_Vent/Drain</t>
  </si>
  <si>
    <t>7300_DIV_39</t>
  </si>
  <si>
    <t>11150</t>
  </si>
  <si>
    <t>7300_DIV_39.1</t>
  </si>
  <si>
    <t>11151</t>
  </si>
  <si>
    <t>11152</t>
  </si>
  <si>
    <t>7300_DIV_Vent/Drain</t>
  </si>
  <si>
    <t>1110</t>
  </si>
  <si>
    <t>JBS-100-EP</t>
  </si>
  <si>
    <t>E-40</t>
  </si>
  <si>
    <t>LAB-ETL-EN/RU</t>
  </si>
  <si>
    <t>5HTV2-CT</t>
  </si>
  <si>
    <t>1111</t>
  </si>
  <si>
    <t>1112</t>
  </si>
  <si>
    <t>4XTV2-CT-T3</t>
  </si>
  <si>
    <t>JBS-SPA</t>
  </si>
  <si>
    <t>1113</t>
  </si>
  <si>
    <t>1114</t>
  </si>
  <si>
    <t>1115</t>
  </si>
  <si>
    <t>C:\Users\e1234958\Downloads\Test.TDB</t>
  </si>
  <si>
    <t>1001-A</t>
  </si>
  <si>
    <t>1001-B</t>
  </si>
  <si>
    <t>1001-C</t>
  </si>
  <si>
    <t>1002-A</t>
  </si>
  <si>
    <t>1002-C</t>
  </si>
  <si>
    <t>1003-A</t>
  </si>
  <si>
    <t>1003-B</t>
  </si>
  <si>
    <t>1004-A</t>
  </si>
  <si>
    <t>1004-B</t>
  </si>
  <si>
    <t>1004-C</t>
  </si>
  <si>
    <t>1535-A_ДТ_3---4</t>
  </si>
  <si>
    <t>1535-A_ДТ_3---1</t>
  </si>
  <si>
    <t>1535-A_ДТ_3---5</t>
  </si>
  <si>
    <t>1535-A_ДТ_3---2</t>
  </si>
  <si>
    <t>1535-A_ДТ_3---3</t>
  </si>
  <si>
    <t>1535-A_ДТ_3---6</t>
  </si>
  <si>
    <t>Newly Copied Line Group---1</t>
  </si>
  <si>
    <t>Newly Copied Line Group---3</t>
  </si>
  <si>
    <t>Newly Copied Line Group---2</t>
  </si>
  <si>
    <t>Newly Copied Line Group---4</t>
  </si>
  <si>
    <t>Newly Copied Line Group---7</t>
  </si>
  <si>
    <t>Newly Copied Line Group---5</t>
  </si>
  <si>
    <t>Newly Copied Line Group---6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</si>
</sst>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0" borderId="0" xfId="0" applyAlignment="1">
      <alignment wrapText="1"/>
    </xf>
    <xf numFmtId="0" fontId="3" fillId="2" borderId="1" xfId="0" applyFont="1" applyFill="1" applyBorder="1"/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fill>
        <patternFill patternType="solid">
          <fgColor indexed="64"/>
          <bgColor theme="9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</xdr:row>
          <xdr:rowOff>47625</xdr:rowOff>
        </xdr:from>
        <xdr:to>
          <xdr:col>2</xdr:col>
          <xdr:colOff>400050</xdr:colOff>
          <xdr:row>3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466725</xdr:colOff>
          <xdr:row>0</xdr:row>
          <xdr:rowOff>0</xdr:rowOff>
        </xdr:from>
        <xdr:to>
          <xdr:col>1</xdr:col>
          <xdr:colOff>1381125</xdr:colOff>
          <xdr:row>0</xdr:row>
          <xdr:rowOff>323850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57150</xdr:rowOff>
        </xdr:from>
        <xdr:to>
          <xdr:col>1</xdr:col>
          <xdr:colOff>1495425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Area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0</xdr:row>
          <xdr:rowOff>123825</xdr:rowOff>
        </xdr:from>
        <xdr:to>
          <xdr:col>1</xdr:col>
          <xdr:colOff>1533525</xdr:colOff>
          <xdr:row>0</xdr:row>
          <xdr:rowOff>409575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Coords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5" xr16:uid="{59934BA8-260A-4A62-8B69-EEAD686A5308}" autoFormatId="16" applyNumberFormats="0" applyBorderFormats="0" applyFontFormats="0" applyPatternFormats="0" applyAlignmentFormats="0" applyWidthHeightFormats="0">
  <queryTableRefresh nextId="21" unboundColumnsRight="6">
    <queryTableFields count="14">
      <queryTableField id="1" name="RecordID" tableColumnId="1"/>
      <queryTableField id="2" name="LineID" tableColumnId="2"/>
      <queryTableField id="3" name="LineType" tableColumnId="3"/>
      <queryTableField id="4" name="ParentID" tableColumnId="4"/>
      <queryTableField id="5" name="RootParentID" tableColumnId="5"/>
      <queryTableField id="6" name="Level" tableColumnId="6"/>
      <queryTableField id="19" dataBound="0" tableColumnId="11"/>
      <queryTableField id="7" name="CircuitID" tableColumnId="7"/>
      <queryTableField id="8" dataBound="0" tableColumnId="8"/>
      <queryTableField id="10" dataBound="0" tableColumnId="10"/>
      <queryTableField id="20" dataBound="0" tableColumnId="13"/>
      <queryTableField id="16" dataBound="0" tableColumnId="15"/>
      <queryTableField id="9" dataBound="0" tableColumnId="9"/>
      <queryTableField id="11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351DCF0A-002A-44F8-80DA-9598BD3F090F}" autoFormatId="16" applyNumberFormats="0" applyBorderFormats="0" applyFontFormats="0" applyPatternFormats="0" applyAlignmentFormats="0" applyWidthHeightFormats="0">
  <queryTableRefresh nextId="136" unboundColumnsRight="1">
    <queryTableFields count="8">
      <queryTableField id="2" name="RecordID" tableColumnId="2"/>
      <queryTableField id="129" name="ParentID" tableColumnId="129"/>
      <queryTableField id="130" name="RootParentID" tableColumnId="130"/>
      <queryTableField id="131" name="LineID" tableColumnId="131"/>
      <queryTableField id="132" name="CircuitID" tableColumnId="132"/>
      <queryTableField id="133" name="LineType.1" tableColumnId="133"/>
      <queryTableField id="134" name="AreaName" tableColumnId="134"/>
      <queryTableField id="135" dataBound="0" tableColumnId="13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4" xr16:uid="{B077C0BE-6C3F-47E4-8B7B-5282691FDC6C}" autoFormatId="16" applyNumberFormats="0" applyBorderFormats="0" applyFontFormats="0" applyPatternFormats="0" applyAlignmentFormats="0" applyWidthHeightFormats="0">
  <queryTableRefresh nextId="17" unboundColumnsRight="4">
    <queryTableFields count="14">
      <queryTableField id="1" name="RecordID" tableColumnId="1"/>
      <queryTableField id="2" name="ParentID" tableColumnId="2"/>
      <queryTableField id="3" name="RootParentID" tableColumnId="3"/>
      <queryTableField id="4" name="LineID" tableColumnId="4"/>
      <queryTableField id="5" name="CircuitID" tableColumnId="5"/>
      <queryTableField id="6" name="LineType.1" tableColumnId="6"/>
      <queryTableField id="7" name="CatalogNo" tableColumnId="7"/>
      <queryTableField id="10" name="ProductType" tableColumnId="10"/>
      <queryTableField id="8" name="QtyManual" tableColumnId="8"/>
      <queryTableField id="9" name="CitcuitNumber" tableColumnId="9"/>
      <queryTableField id="15" dataBound="0" tableColumnId="14"/>
      <queryTableField id="13" dataBound="0" tableColumnId="12"/>
      <queryTableField id="16" dataBound="0" tableColumnId="15"/>
      <queryTableField id="14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6" xr16:uid="{6814586E-2AE9-4EB9-8CC9-822DBB46A0BB}" autoFormatId="16" applyNumberFormats="0" applyBorderFormats="0" applyFontFormats="0" applyPatternFormats="0" applyAlignmentFormats="0" applyWidthHeightFormats="0">
  <queryTableRefresh nextId="17" unboundColumnsRight="3">
    <queryTableFields count="15">
      <queryTableField id="1" name="RecordID" tableColumnId="1"/>
      <queryTableField id="2" name="ParentID" tableColumnId="2"/>
      <queryTableField id="3" name="RootParentID" tableColumnId="3"/>
      <queryTableField id="4" name="LineID" tableColumnId="4"/>
      <queryTableField id="5" name="CircuitID" tableColumnId="5"/>
      <queryTableField id="6" name="LineType.1" tableColumnId="6"/>
      <queryTableField id="7" name="JBCoord1" tableColumnId="7"/>
      <queryTableField id="8" name="JBCoord2" tableColumnId="8"/>
      <queryTableField id="9" name="JBCoord3" tableColumnId="9"/>
      <queryTableField id="10" name="ThermostatCoord1" tableColumnId="10"/>
      <queryTableField id="11" name="ThermostatCoord2" tableColumnId="11"/>
      <queryTableField id="12" name="ThermostatCoord3" tableColumnId="12"/>
      <queryTableField id="13" dataBound="0" tableColumnId="13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481411-CED4-4EC3-9953-9EEF5989F804}" name="CircuitIDCheck" displayName="CircuitIDCheck" ref="A1:N14" tableType="queryTable" totalsRowShown="0" headerRowDxfId="20">
  <autoFilter ref="A1:N14" xr:uid="{042B4053-7F59-4C13-847C-34CBFDEEB384}"/>
  <tableColumns count="14">
    <tableColumn id="1" xr3:uid="{734F071C-8B30-4794-A46A-77F18C671B33}" uniqueName="1" name="RecordID" queryTableFieldId="1"/>
    <tableColumn id="2" xr3:uid="{3976B6DA-1FA7-4E32-B7C2-8596394122F6}" uniqueName="2" name="LineID" queryTableFieldId="2" dataDxfId="1"/>
    <tableColumn id="3" xr3:uid="{6A2E484C-224B-4570-947E-D90B681A330C}" uniqueName="3" name="LineType" queryTableFieldId="3"/>
    <tableColumn id="4" xr3:uid="{834C0231-9001-4D04-8468-259FED2EDAC3}" uniqueName="4" name="ParentID" queryTableFieldId="4"/>
    <tableColumn id="5" xr3:uid="{0447DCA6-E9E2-45A2-9C9B-10F02C901C70}" uniqueName="5" name="RootParentID" queryTableFieldId="5"/>
    <tableColumn id="6" xr3:uid="{194968FE-685B-4EF1-9E4D-57A31CB21C85}" uniqueName="6" name="Level" queryTableFieldId="6"/>
    <tableColumn id="11" xr3:uid="{1E09AB38-BFB3-4D68-8640-A505EC2F3B11}" uniqueName="11" name="SegemntType" queryTableFieldId="19">
      <calculatedColumnFormula>_xlfn.XLOOKUP(CircuitIDCheck[[#This Row],[LineType]],Table7[Number],Table7[LineType])</calculatedColumnFormula>
    </tableColumn>
    <tableColumn id="7" xr3:uid="{AD1B45CE-665A-4A0F-BBD5-4730DC05598C}" uniqueName="7" name="CircuitID" queryTableFieldId="7" dataDxfId="0"/>
    <tableColumn id="8" xr3:uid="{5CB86E51-5265-4CB0-A72E-CEA839F2F99C}" uniqueName="8" name="CircuitNumber" queryTableFieldId="8">
      <calculatedColumnFormula>LEFT(CircuitIDCheck[[#This Row],[CircuitID]],SEARCH("-",CircuitIDCheck[[#This Row],[CircuitID]])-1)</calculatedColumnFormula>
    </tableColumn>
    <tableColumn id="10" xr3:uid="{A21F9AB6-E62A-4DA8-BC0F-EA17B107BCBF}" uniqueName="10" name="Letter" queryTableFieldId="10">
      <calculatedColumnFormula>RIGHT(CircuitIDCheck[[#This Row],[CircuitID]])</calculatedColumnFormula>
    </tableColumn>
    <tableColumn id="13" xr3:uid="{DFBAAFCF-7C7F-47B7-A522-1685091EA7CF}" uniqueName="13" name="ParentCircuitID" queryTableFieldId="20">
      <calculatedColumnFormula>IF(CircuitIDCheck[[#This Row],[ParentID]]=0,"",_xlfn.XLOOKUP(CircuitIDCheck[[#This Row],[ParentID]],A:A,H:H))</calculatedColumnFormula>
    </tableColumn>
    <tableColumn id="15" xr3:uid="{2B481ADC-6A87-447F-8923-77098AF27070}" uniqueName="15" name="LetterFromParent" queryTableFieldId="16">
      <calculatedColumnFormula>IFERROR(_xlfn.XLOOKUP(CircuitIDCheck[[#This Row],[ParentID]],A:A,J:J),CircuitIDCheck[[#This Row],[Letter]])</calculatedColumnFormula>
    </tableColumn>
    <tableColumn id="9" xr3:uid="{5D672515-DB2A-4E65-8B5C-26CFD938D661}" uniqueName="9" name="WrongNumber" queryTableFieldId="9">
      <calculatedColumnFormula>IF(I2=IF(CircuitIDCheck[[#This Row],[RootParentID]]=0,CircuitIDCheck[[#This Row],[CircuitNumber]],_xlfn.XLOOKUP(CircuitIDCheck[[#This Row],[RootParentID]],A:A,I:I)),"",FALSE)</calculatedColumnFormula>
    </tableColumn>
    <tableColumn id="12" xr3:uid="{8969203C-0AA3-4326-8EF9-19E672668066}" uniqueName="12" name="WrongLetterFromParent(MATCH)" queryTableFieldId="11" dataDxfId="19">
      <calculatedColumnFormula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AD5398-228F-4540-83A5-543D6B063A92}" name="AreaCheck" displayName="AreaCheck" ref="A1:H55" tableType="queryTable" totalsRowShown="0" headerRowDxfId="17">
  <autoFilter ref="A1:H55" xr:uid="{7FFD851A-86A8-4371-A876-85D4EB405EE6}"/>
  <tableColumns count="8">
    <tableColumn id="2" xr3:uid="{B35EDD72-F3F5-4E91-BCAE-1CC7082DF26E}" uniqueName="2" name="RecordID" queryTableFieldId="2"/>
    <tableColumn id="129" xr3:uid="{BE97034B-85AC-45C4-8363-5B0FC97522EC}" uniqueName="129" name="ParentID" queryTableFieldId="129"/>
    <tableColumn id="130" xr3:uid="{35B9003A-2314-4B8B-94BE-C2079ADE19B3}" uniqueName="130" name="RootParentID" queryTableFieldId="130"/>
    <tableColumn id="131" xr3:uid="{CEC36524-E892-411F-BEEC-9589A21644EE}" uniqueName="131" name="LineID" queryTableFieldId="131" dataDxfId="16"/>
    <tableColumn id="132" xr3:uid="{3B60F24A-9359-48D4-9BA3-9D6E3392592D}" uniqueName="132" name="CircuitID" queryTableFieldId="132" dataDxfId="15"/>
    <tableColumn id="133" xr3:uid="{194DCCD8-28BE-4947-9F74-0263D93AA673}" uniqueName="133" name="LineType.1" queryTableFieldId="133"/>
    <tableColumn id="134" xr3:uid="{A6CB3EC2-955E-444C-A6B0-66CE62ACABB3}" uniqueName="134" name="AreaName" queryTableFieldId="134" dataDxfId="14"/>
    <tableColumn id="135" xr3:uid="{F09D6252-ECBD-4EFD-B63D-CB40C4F57678}" uniqueName="135" name="Filled Area" queryTableFieldId="135" dataDxfId="13">
      <calculatedColumnFormula>IF(AreaCheck[[#This Row],[AreaName]]="",FALSE,"")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057578-43F5-448A-8862-1D8ADC4FD40D}" name="BOMCheck" displayName="BOMCheck" ref="A1:N325" tableType="queryTable" totalsRowShown="0">
  <autoFilter ref="A1:N325" xr:uid="{F0C44F75-D75A-444E-A7BC-D9C26569F237}"/>
  <tableColumns count="14">
    <tableColumn id="1" xr3:uid="{3FCDD1E5-B96C-43D2-8B0C-D054D8DB2F5B}" uniqueName="1" name="RecordID" queryTableFieldId="1"/>
    <tableColumn id="2" xr3:uid="{7F75D669-BC20-48FD-9802-DFD6E72C1C07}" uniqueName="2" name="ParentID" queryTableFieldId="2"/>
    <tableColumn id="3" xr3:uid="{535B7245-250C-413B-A901-A7DEE3E64F99}" uniqueName="3" name="RootParentID" queryTableFieldId="3"/>
    <tableColumn id="4" xr3:uid="{BBCD1BE1-67B1-4C59-A3C6-49C4750130C4}" uniqueName="4" name="LineID" queryTableFieldId="4" dataDxfId="12"/>
    <tableColumn id="5" xr3:uid="{FDF465D8-3125-4DF5-AB6A-61D6BE8126C4}" uniqueName="5" name="CircuitID" queryTableFieldId="5" dataDxfId="11"/>
    <tableColumn id="6" xr3:uid="{F79B775E-5CBA-4F99-9EDC-52465FD7E430}" uniqueName="6" name="LineType.1" queryTableFieldId="6"/>
    <tableColumn id="7" xr3:uid="{6636D70D-6E26-4505-89FA-7DCB8E9001D1}" uniqueName="7" name="CatalogNo" queryTableFieldId="7" dataDxfId="10"/>
    <tableColumn id="10" xr3:uid="{F3EA95BE-CBA4-4607-A09C-01A21F832401}" uniqueName="10" name="ProductType" queryTableFieldId="10"/>
    <tableColumn id="8" xr3:uid="{9F21DA20-15BC-40A0-8425-DACD90156A3C}" uniqueName="8" name="QtyManual" queryTableFieldId="8"/>
    <tableColumn id="9" xr3:uid="{38334AC8-76FD-4ADB-8C86-78B1C4E9269D}" uniqueName="9" name="CitcuitNumber" queryTableFieldId="9"/>
    <tableColumn id="14" xr3:uid="{AD01F497-6908-450B-9323-D7429C031634}" uniqueName="14" name="BranchName" queryTableFieldId="15">
      <calculatedColumnFormula>RIGHT(BOMCheck[[#This Row],[CircuitID]])</calculatedColumnFormula>
    </tableColumn>
    <tableColumn id="12" xr3:uid="{77220767-F2E4-4F8A-9166-D3FB6C05D26D}" uniqueName="12" name="EndsealCounter" queryTableFieldId="13" dataDxfId="9">
      <calculatedColumnFormula>SUMIFS(I:I,J:J,BOMCheck[[#This Row],[CitcuitNumber]],H:H,7)</calculatedColumnFormula>
    </tableColumn>
    <tableColumn id="15" xr3:uid="{19F395F0-F1EA-4F58-9332-F7D75AC56A0B}" uniqueName="15" name="IekCounter" queryTableFieldId="16" dataDxfId="8">
      <calculatedColumnFormula>SUMIFS(I:I,J:J,BOMCheck[[#This Row],[CitcuitNumber]],G:G,"IEK-25-04")</calculatedColumnFormula>
    </tableColumn>
    <tableColumn id="13" xr3:uid="{660B8B79-D5A8-4A7D-96E7-1F4DD6989DE9}" uniqueName="13" name="BranchNames" queryTableFieldId="14" dataDxfId="7">
      <calculatedColumnFormula array="1">_xlfn.TEXTJOIN(", ",TRUE,_xlfn.UNIQUE(IF(BOMCheck[[#This Row],[CitcuitNumber]]=J:J,K:K,"")))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87A48D-9BD8-4915-93DB-B60FA6EA7F66}" name="CoordsCheck" displayName="CoordsCheck" ref="A1:O55" tableType="queryTable" totalsRowShown="0">
  <autoFilter ref="A1:O55" xr:uid="{035247F0-2498-4550-B1A2-BD4D27D99CDB}"/>
  <tableColumns count="15">
    <tableColumn id="1" xr3:uid="{AB90039F-68DD-490B-94D3-5768F8826F4B}" uniqueName="1" name="RecordID" queryTableFieldId="1"/>
    <tableColumn id="2" xr3:uid="{4C888A98-9C2D-4567-97AE-C008EA8B119E}" uniqueName="2" name="ParentID" queryTableFieldId="2"/>
    <tableColumn id="3" xr3:uid="{B5D7247D-4E87-4112-9B0B-0485BE525BD8}" uniqueName="3" name="RootParentID" queryTableFieldId="3"/>
    <tableColumn id="4" xr3:uid="{8122A78F-9A3F-4878-9E05-E0A60F03932C}" uniqueName="4" name="LineID" queryTableFieldId="4" dataDxfId="5"/>
    <tableColumn id="5" xr3:uid="{2EEDBC36-1FC7-41A1-BA9A-F745DEA3A533}" uniqueName="5" name="CircuitID" queryTableFieldId="5" dataDxfId="4"/>
    <tableColumn id="6" xr3:uid="{D43F2043-020F-4545-8F44-3199014DDEA7}" uniqueName="6" name="LineType.1" queryTableFieldId="6"/>
    <tableColumn id="7" xr3:uid="{28085975-1048-442C-BAA7-46CB2417E0DB}" uniqueName="7" name="JBCoord1" queryTableFieldId="7"/>
    <tableColumn id="8" xr3:uid="{F2AF02FB-E180-454B-AC36-9387C47F2083}" uniqueName="8" name="JBCoord2" queryTableFieldId="8"/>
    <tableColumn id="9" xr3:uid="{0C70B0C9-BBAD-495C-BC8A-E286EC425969}" uniqueName="9" name="JBCoord3" queryTableFieldId="9"/>
    <tableColumn id="10" xr3:uid="{1B261D5C-9E15-409D-80A0-F121FC23B183}" uniqueName="10" name="ThermostatCoord1" queryTableFieldId="10"/>
    <tableColumn id="11" xr3:uid="{2FAE8191-C6F3-4648-8E86-175A06B8EC33}" uniqueName="11" name="ThermostatCoord2" queryTableFieldId="11"/>
    <tableColumn id="12" xr3:uid="{72C3FECA-F200-4B98-B475-4F38C24866E6}" uniqueName="12" name="ThermostatCoord3" queryTableFieldId="12"/>
    <tableColumn id="13" xr3:uid="{01F6949B-0ED8-4226-803B-5588A77392D5}" uniqueName="13" name="CicuitNumber" queryTableFieldId="13">
      <calculatedColumnFormula>LEFT(CoordsCheck[[#This Row],[CircuitID]],SEARCH("-",CoordsCheck[[#This Row],[CircuitID]])-1)</calculatedColumnFormula>
    </tableColumn>
    <tableColumn id="15" xr3:uid="{C27C3307-A42C-4583-89BD-D11F2A32E132}" uniqueName="15" name="Check0coords" queryTableFieldId="15">
      <calculatedColumnFormula>IF(AND(CoordsCheck[[#This Row],[JBCoord1]]=0,CoordsCheck[[#This Row],[JBCoord2]]=0,CoordsCheck[[#This Row],[JBCoord3]]=0),1,0)</calculatedColumnFormula>
    </tableColumn>
    <tableColumn id="16" xr3:uid="{F090EFEA-39F1-4483-BAC6-2EC0449AE637}" uniqueName="16" name="FilledCoords" queryTableFieldId="16" dataDxfId="3">
      <calculatedColumnFormula>IF(SUMIF(M:M,CoordsCheck[[#This Row],[CicuitNumber]],N:N)/COUNTIF(M:M,CoordsCheck[[#This Row],[CicuitNumber]])&lt;&gt;1,"",FALSE)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562DB4-AC30-4250-87B5-B1516D4EC227}" name="Path" displayName="Path" ref="A1:A2" totalsRowShown="0">
  <autoFilter ref="A1:A2" xr:uid="{DC5547B7-2EBD-45B8-BC57-1EA662296837}"/>
  <tableColumns count="1">
    <tableColumn id="1" xr3:uid="{1324FB7A-0C0E-4689-A174-2BA26FE69E2F}" name="Path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D0F0CE-50B4-41CA-AABD-73F36181598C}" name="Table7" displayName="Table7" ref="F1:G12" totalsRowShown="0" headerRowDxfId="2">
  <autoFilter ref="F1:G12" xr:uid="{99FA413E-75FC-4E1C-939A-A146F0964755}"/>
  <tableColumns count="2">
    <tableColumn id="1" xr3:uid="{60177885-0D55-44F2-AAFD-28E0999CBFC0}" name="LineType"/>
    <tableColumn id="2" xr3:uid="{4D706D8F-9B9C-4399-9798-BCF95A2ABA87}" name="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019B2-E71A-4A89-93E4-A3163C73DC00}">
  <sheetPr codeName="Sheet3">
    <tabColor rgb="FFFF0000"/>
  </sheetPr>
  <dimension ref="A1"/>
  <sheetViews>
    <sheetView workbookViewId="0">
      <selection activeCell="F12" sqref="F1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otalCheck">
                <anchor moveWithCells="1" sizeWithCells="1">
                  <from>
                    <xdr:col>0</xdr:col>
                    <xdr:colOff>304800</xdr:colOff>
                    <xdr:row>1</xdr:row>
                    <xdr:rowOff>47625</xdr:rowOff>
                  </from>
                  <to>
                    <xdr:col>2</xdr:col>
                    <xdr:colOff>400050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D5B7F-8F9C-4B67-92C3-E2D5B5A144A8}">
  <sheetPr codeName="Sheet2">
    <tabColor rgb="FF92D050"/>
  </sheetPr>
  <dimension ref="A1:N27"/>
  <sheetViews>
    <sheetView tabSelected="1" workbookViewId="0">
      <selection activeCell="G18" sqref="G18"/>
    </sheetView>
  </sheetViews>
  <sheetFormatPr defaultRowHeight="15" x14ac:dyDescent="0.25"/>
  <cols>
    <col min="1" max="1" width="11.42578125" bestFit="1" customWidth="1"/>
    <col min="2" max="2" width="27.140625" bestFit="1" customWidth="1"/>
    <col min="3" max="3" width="11.42578125" hidden="1" customWidth="1"/>
    <col min="4" max="4" width="11.140625" customWidth="1"/>
    <col min="5" max="5" width="15.28515625" customWidth="1"/>
    <col min="6" max="6" width="8.140625" hidden="1" customWidth="1"/>
    <col min="7" max="7" width="15.7109375" bestFit="1" customWidth="1"/>
    <col min="8" max="8" width="11" bestFit="1" customWidth="1"/>
    <col min="9" max="9" width="16.5703125" bestFit="1" customWidth="1"/>
    <col min="10" max="10" width="8.7109375" bestFit="1" customWidth="1"/>
    <col min="11" max="11" width="17.140625" customWidth="1"/>
    <col min="12" max="12" width="11.28515625" customWidth="1"/>
    <col min="13" max="13" width="16.85546875" customWidth="1"/>
    <col min="14" max="14" width="22.85546875" customWidth="1"/>
  </cols>
  <sheetData>
    <row r="1" spans="1:14" s="3" customFormat="1" ht="30" x14ac:dyDescent="0.25">
      <c r="A1" s="3" t="s">
        <v>18</v>
      </c>
      <c r="B1" s="3" t="s">
        <v>11</v>
      </c>
      <c r="C1" s="3" t="s">
        <v>10</v>
      </c>
      <c r="D1" s="3" t="s">
        <v>19</v>
      </c>
      <c r="E1" s="3" t="s">
        <v>20</v>
      </c>
      <c r="F1" s="3" t="s">
        <v>12</v>
      </c>
      <c r="G1" s="3" t="s">
        <v>27</v>
      </c>
      <c r="H1" s="3" t="s">
        <v>21</v>
      </c>
      <c r="I1" s="3" t="s">
        <v>22</v>
      </c>
      <c r="J1" s="3" t="s">
        <v>24</v>
      </c>
      <c r="K1" s="3" t="s">
        <v>28</v>
      </c>
      <c r="L1" s="3" t="s">
        <v>25</v>
      </c>
      <c r="M1" s="3" t="s">
        <v>23</v>
      </c>
      <c r="N1" s="3" t="s">
        <v>26</v>
      </c>
    </row>
    <row r="2" spans="1:14" x14ac:dyDescent="0.25">
      <c r="A2">
        <v>609</v>
      </c>
      <c r="B2" s="1" t="s">
        <v>183</v>
      </c>
      <c r="C2">
        <v>0</v>
      </c>
      <c r="D2">
        <v>0</v>
      </c>
      <c r="E2">
        <v>0</v>
      </c>
      <c r="F2">
        <v>0</v>
      </c>
      <c r="G2" t="str">
        <f>_xlfn.XLOOKUP(CircuitIDCheck[[#This Row],[LineType]],Table7[Number],Table7[LineType])</f>
        <v>Parent</v>
      </c>
      <c r="H2" s="1" t="s">
        <v>173</v>
      </c>
      <c r="I2" t="str">
        <f>LEFT(CircuitIDCheck[[#This Row],[CircuitID]],SEARCH("-",CircuitIDCheck[[#This Row],[CircuitID]])-1)</f>
        <v>1001</v>
      </c>
      <c r="J2" t="str">
        <f>RIGHT(CircuitIDCheck[[#This Row],[CircuitID]])</f>
        <v>A</v>
      </c>
      <c r="K2" t="str">
        <f>IF(CircuitIDCheck[[#This Row],[ParentID]]=0,"",_xlfn.XLOOKUP(CircuitIDCheck[[#This Row],[ParentID]],A:A,H:H))</f>
        <v/>
      </c>
      <c r="L2" t="str">
        <f>IFERROR(_xlfn.XLOOKUP(CircuitIDCheck[[#This Row],[ParentID]],A:A,J:J),CircuitIDCheck[[#This Row],[Letter]])</f>
        <v>A</v>
      </c>
      <c r="M2" t="str">
        <f>IF(I2=IF(CircuitIDCheck[[#This Row],[RootParentID]]=0,CircuitIDCheck[[#This Row],[CircuitNumber]],_xlfn.XLOOKUP(CircuitIDCheck[[#This Row],[RootParentID]],A:A,I:I)),"",FALSE)</f>
        <v/>
      </c>
      <c r="N2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3" spans="1:14" x14ac:dyDescent="0.25">
      <c r="A3">
        <v>613</v>
      </c>
      <c r="B3" s="1" t="s">
        <v>184</v>
      </c>
      <c r="C3">
        <v>10</v>
      </c>
      <c r="D3">
        <v>609</v>
      </c>
      <c r="E3">
        <v>609</v>
      </c>
      <c r="F3">
        <v>1</v>
      </c>
      <c r="G3" t="str">
        <f>_xlfn.XLOOKUP(CircuitIDCheck[[#This Row],[LineType]],Table7[Number],Table7[LineType])</f>
        <v>Power Tee</v>
      </c>
      <c r="H3" s="1" t="s">
        <v>174</v>
      </c>
      <c r="I3" t="str">
        <f>LEFT(CircuitIDCheck[[#This Row],[CircuitID]],SEARCH("-",CircuitIDCheck[[#This Row],[CircuitID]])-1)</f>
        <v>1001</v>
      </c>
      <c r="J3" t="str">
        <f>RIGHT(CircuitIDCheck[[#This Row],[CircuitID]])</f>
        <v>B</v>
      </c>
      <c r="K3" t="str">
        <f>IF(CircuitIDCheck[[#This Row],[ParentID]]=0,"",_xlfn.XLOOKUP(CircuitIDCheck[[#This Row],[ParentID]],A:A,H:H))</f>
        <v>1001-A</v>
      </c>
      <c r="L3" t="str">
        <f>IFERROR(_xlfn.XLOOKUP(CircuitIDCheck[[#This Row],[ParentID]],A:A,J:J),CircuitIDCheck[[#This Row],[Letter]])</f>
        <v>A</v>
      </c>
      <c r="M3" t="str">
        <f>IF(I3=IF(CircuitIDCheck[[#This Row],[RootParentID]]=0,CircuitIDCheck[[#This Row],[CircuitNumber]],_xlfn.XLOOKUP(CircuitIDCheck[[#This Row],[RootParentID]],A:A,I:I)),"",FALSE)</f>
        <v/>
      </c>
      <c r="N3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4" spans="1:14" x14ac:dyDescent="0.25">
      <c r="A4">
        <v>616</v>
      </c>
      <c r="B4" s="1" t="s">
        <v>185</v>
      </c>
      <c r="C4">
        <v>10</v>
      </c>
      <c r="D4">
        <v>615</v>
      </c>
      <c r="E4">
        <v>615</v>
      </c>
      <c r="F4">
        <v>1</v>
      </c>
      <c r="G4" t="str">
        <f>_xlfn.XLOOKUP(CircuitIDCheck[[#This Row],[LineType]],Table7[Number],Table7[LineType])</f>
        <v>Power Tee</v>
      </c>
      <c r="H4" s="1" t="s">
        <v>174</v>
      </c>
      <c r="I4" t="str">
        <f>LEFT(CircuitIDCheck[[#This Row],[CircuitID]],SEARCH("-",CircuitIDCheck[[#This Row],[CircuitID]])-1)</f>
        <v>1001</v>
      </c>
      <c r="J4" t="str">
        <f>RIGHT(CircuitIDCheck[[#This Row],[CircuitID]])</f>
        <v>B</v>
      </c>
      <c r="K4" t="str">
        <f>IF(CircuitIDCheck[[#This Row],[ParentID]]=0,"",_xlfn.XLOOKUP(CircuitIDCheck[[#This Row],[ParentID]],A:A,H:H))</f>
        <v>1002-A</v>
      </c>
      <c r="L4" t="str">
        <f>IFERROR(_xlfn.XLOOKUP(CircuitIDCheck[[#This Row],[ParentID]],A:A,J:J),CircuitIDCheck[[#This Row],[Letter]])</f>
        <v>A</v>
      </c>
      <c r="M4" t="b">
        <f>IF(I4=IF(CircuitIDCheck[[#This Row],[RootParentID]]=0,CircuitIDCheck[[#This Row],[CircuitNumber]],_xlfn.XLOOKUP(CircuitIDCheck[[#This Row],[RootParentID]],A:A,I:I)),"",FALSE)</f>
        <v>0</v>
      </c>
      <c r="N4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5" spans="1:14" x14ac:dyDescent="0.25">
      <c r="A5">
        <v>614</v>
      </c>
      <c r="B5" s="1" t="s">
        <v>186</v>
      </c>
      <c r="C5">
        <v>10</v>
      </c>
      <c r="D5">
        <v>609</v>
      </c>
      <c r="E5">
        <v>609</v>
      </c>
      <c r="F5">
        <v>1</v>
      </c>
      <c r="G5" t="str">
        <f>_xlfn.XLOOKUP(CircuitIDCheck[[#This Row],[LineType]],Table7[Number],Table7[LineType])</f>
        <v>Power Tee</v>
      </c>
      <c r="H5" s="1" t="s">
        <v>175</v>
      </c>
      <c r="I5" t="str">
        <f>LEFT(CircuitIDCheck[[#This Row],[CircuitID]],SEARCH("-",CircuitIDCheck[[#This Row],[CircuitID]])-1)</f>
        <v>1001</v>
      </c>
      <c r="J5" t="str">
        <f>RIGHT(CircuitIDCheck[[#This Row],[CircuitID]])</f>
        <v>C</v>
      </c>
      <c r="K5" t="str">
        <f>IF(CircuitIDCheck[[#This Row],[ParentID]]=0,"",_xlfn.XLOOKUP(CircuitIDCheck[[#This Row],[ParentID]],A:A,H:H))</f>
        <v>1001-A</v>
      </c>
      <c r="L5" t="str">
        <f>IFERROR(_xlfn.XLOOKUP(CircuitIDCheck[[#This Row],[ParentID]],A:A,J:J),CircuitIDCheck[[#This Row],[Letter]])</f>
        <v>A</v>
      </c>
      <c r="M5" t="str">
        <f>IF(I5=IF(CircuitIDCheck[[#This Row],[RootParentID]]=0,CircuitIDCheck[[#This Row],[CircuitNumber]],_xlfn.XLOOKUP(CircuitIDCheck[[#This Row],[RootParentID]],A:A,I:I)),"",FALSE)</f>
        <v/>
      </c>
      <c r="N5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6" spans="1:14" x14ac:dyDescent="0.25">
      <c r="A6">
        <v>615</v>
      </c>
      <c r="B6" s="1" t="s">
        <v>187</v>
      </c>
      <c r="C6">
        <v>0</v>
      </c>
      <c r="D6">
        <v>0</v>
      </c>
      <c r="E6">
        <v>0</v>
      </c>
      <c r="F6">
        <v>0</v>
      </c>
      <c r="G6" t="str">
        <f>_xlfn.XLOOKUP(CircuitIDCheck[[#This Row],[LineType]],Table7[Number],Table7[LineType])</f>
        <v>Parent</v>
      </c>
      <c r="H6" s="1" t="s">
        <v>176</v>
      </c>
      <c r="I6" t="str">
        <f>LEFT(CircuitIDCheck[[#This Row],[CircuitID]],SEARCH("-",CircuitIDCheck[[#This Row],[CircuitID]])-1)</f>
        <v>1002</v>
      </c>
      <c r="J6" t="str">
        <f>RIGHT(CircuitIDCheck[[#This Row],[CircuitID]])</f>
        <v>A</v>
      </c>
      <c r="K6" t="str">
        <f>IF(CircuitIDCheck[[#This Row],[ParentID]]=0,"",_xlfn.XLOOKUP(CircuitIDCheck[[#This Row],[ParentID]],A:A,H:H))</f>
        <v/>
      </c>
      <c r="L6" t="str">
        <f>IFERROR(_xlfn.XLOOKUP(CircuitIDCheck[[#This Row],[ParentID]],A:A,J:J),CircuitIDCheck[[#This Row],[Letter]])</f>
        <v>A</v>
      </c>
      <c r="M6" t="str">
        <f>IF(I6=IF(CircuitIDCheck[[#This Row],[RootParentID]]=0,CircuitIDCheck[[#This Row],[CircuitNumber]],_xlfn.XLOOKUP(CircuitIDCheck[[#This Row],[RootParentID]],A:A,I:I)),"",FALSE)</f>
        <v/>
      </c>
      <c r="N6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7" spans="1:14" x14ac:dyDescent="0.25">
      <c r="A7">
        <v>617</v>
      </c>
      <c r="B7" s="1" t="s">
        <v>188</v>
      </c>
      <c r="C7">
        <v>10</v>
      </c>
      <c r="D7">
        <v>615</v>
      </c>
      <c r="E7">
        <v>615</v>
      </c>
      <c r="F7">
        <v>1</v>
      </c>
      <c r="G7" t="str">
        <f>_xlfn.XLOOKUP(CircuitIDCheck[[#This Row],[LineType]],Table7[Number],Table7[LineType])</f>
        <v>Power Tee</v>
      </c>
      <c r="H7" s="1" t="s">
        <v>177</v>
      </c>
      <c r="I7" t="str">
        <f>LEFT(CircuitIDCheck[[#This Row],[CircuitID]],SEARCH("-",CircuitIDCheck[[#This Row],[CircuitID]])-1)</f>
        <v>1002</v>
      </c>
      <c r="J7" t="str">
        <f>RIGHT(CircuitIDCheck[[#This Row],[CircuitID]])</f>
        <v>C</v>
      </c>
      <c r="K7" t="str">
        <f>IF(CircuitIDCheck[[#This Row],[ParentID]]=0,"",_xlfn.XLOOKUP(CircuitIDCheck[[#This Row],[ParentID]],A:A,H:H))</f>
        <v>1002-A</v>
      </c>
      <c r="L7" t="str">
        <f>IFERROR(_xlfn.XLOOKUP(CircuitIDCheck[[#This Row],[ParentID]],A:A,J:J),CircuitIDCheck[[#This Row],[Letter]])</f>
        <v>A</v>
      </c>
      <c r="M7" t="str">
        <f>IF(I7=IF(CircuitIDCheck[[#This Row],[RootParentID]]=0,CircuitIDCheck[[#This Row],[CircuitNumber]],_xlfn.XLOOKUP(CircuitIDCheck[[#This Row],[RootParentID]],A:A,I:I)),"",FALSE)</f>
        <v/>
      </c>
      <c r="N7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8" spans="1:14" x14ac:dyDescent="0.25">
      <c r="A8">
        <v>618</v>
      </c>
      <c r="B8" s="1" t="s">
        <v>189</v>
      </c>
      <c r="C8">
        <v>0</v>
      </c>
      <c r="D8">
        <v>0</v>
      </c>
      <c r="E8">
        <v>0</v>
      </c>
      <c r="F8">
        <v>0</v>
      </c>
      <c r="G8" t="str">
        <f>_xlfn.XLOOKUP(CircuitIDCheck[[#This Row],[LineType]],Table7[Number],Table7[LineType])</f>
        <v>Parent</v>
      </c>
      <c r="H8" s="1" t="s">
        <v>178</v>
      </c>
      <c r="I8" t="str">
        <f>LEFT(CircuitIDCheck[[#This Row],[CircuitID]],SEARCH("-",CircuitIDCheck[[#This Row],[CircuitID]])-1)</f>
        <v>1003</v>
      </c>
      <c r="J8" t="str">
        <f>RIGHT(CircuitIDCheck[[#This Row],[CircuitID]])</f>
        <v>A</v>
      </c>
      <c r="K8" t="str">
        <f>IF(CircuitIDCheck[[#This Row],[ParentID]]=0,"",_xlfn.XLOOKUP(CircuitIDCheck[[#This Row],[ParentID]],A:A,H:H))</f>
        <v/>
      </c>
      <c r="L8" t="str">
        <f>IFERROR(_xlfn.XLOOKUP(CircuitIDCheck[[#This Row],[ParentID]],A:A,J:J),CircuitIDCheck[[#This Row],[Letter]])</f>
        <v>A</v>
      </c>
      <c r="M8" t="str">
        <f>IF(I8=IF(CircuitIDCheck[[#This Row],[RootParentID]]=0,CircuitIDCheck[[#This Row],[CircuitNumber]],_xlfn.XLOOKUP(CircuitIDCheck[[#This Row],[RootParentID]],A:A,I:I)),"",FALSE)</f>
        <v/>
      </c>
      <c r="N8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9" spans="1:14" x14ac:dyDescent="0.25">
      <c r="A9">
        <v>620</v>
      </c>
      <c r="B9" s="1" t="s">
        <v>190</v>
      </c>
      <c r="C9">
        <v>10</v>
      </c>
      <c r="D9">
        <v>618</v>
      </c>
      <c r="E9">
        <v>618</v>
      </c>
      <c r="F9">
        <v>1</v>
      </c>
      <c r="G9" t="str">
        <f>_xlfn.XLOOKUP(CircuitIDCheck[[#This Row],[LineType]],Table7[Number],Table7[LineType])</f>
        <v>Power Tee</v>
      </c>
      <c r="H9" s="1" t="s">
        <v>178</v>
      </c>
      <c r="I9" t="str">
        <f>LEFT(CircuitIDCheck[[#This Row],[CircuitID]],SEARCH("-",CircuitIDCheck[[#This Row],[CircuitID]])-1)</f>
        <v>1003</v>
      </c>
      <c r="J9" t="str">
        <f>RIGHT(CircuitIDCheck[[#This Row],[CircuitID]])</f>
        <v>A</v>
      </c>
      <c r="K9" t="str">
        <f>IF(CircuitIDCheck[[#This Row],[ParentID]]=0,"",_xlfn.XLOOKUP(CircuitIDCheck[[#This Row],[ParentID]],A:A,H:H))</f>
        <v>1003-A</v>
      </c>
      <c r="L9" t="str">
        <f>IFERROR(_xlfn.XLOOKUP(CircuitIDCheck[[#This Row],[ParentID]],A:A,J:J),CircuitIDCheck[[#This Row],[Letter]])</f>
        <v>A</v>
      </c>
      <c r="M9" t="str">
        <f>IF(I9=IF(CircuitIDCheck[[#This Row],[RootParentID]]=0,CircuitIDCheck[[#This Row],[CircuitNumber]],_xlfn.XLOOKUP(CircuitIDCheck[[#This Row],[RootParentID]],A:A,I:I)),"",FALSE)</f>
        <v/>
      </c>
      <c r="N9" t="b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>0</v>
      </c>
    </row>
    <row r="10" spans="1:14" x14ac:dyDescent="0.25">
      <c r="A10">
        <v>619</v>
      </c>
      <c r="B10" s="1" t="s">
        <v>191</v>
      </c>
      <c r="C10">
        <v>10</v>
      </c>
      <c r="D10">
        <v>618</v>
      </c>
      <c r="E10">
        <v>618</v>
      </c>
      <c r="F10">
        <v>1</v>
      </c>
      <c r="G10" t="str">
        <f>_xlfn.XLOOKUP(CircuitIDCheck[[#This Row],[LineType]],Table7[Number],Table7[LineType])</f>
        <v>Power Tee</v>
      </c>
      <c r="H10" s="1" t="s">
        <v>179</v>
      </c>
      <c r="I10" t="str">
        <f>LEFT(CircuitIDCheck[[#This Row],[CircuitID]],SEARCH("-",CircuitIDCheck[[#This Row],[CircuitID]])-1)</f>
        <v>1003</v>
      </c>
      <c r="J10" t="str">
        <f>RIGHT(CircuitIDCheck[[#This Row],[CircuitID]])</f>
        <v>B</v>
      </c>
      <c r="K10" t="str">
        <f>IF(CircuitIDCheck[[#This Row],[ParentID]]=0,"",_xlfn.XLOOKUP(CircuitIDCheck[[#This Row],[ParentID]],A:A,H:H))</f>
        <v>1003-A</v>
      </c>
      <c r="L10" t="str">
        <f>IFERROR(_xlfn.XLOOKUP(CircuitIDCheck[[#This Row],[ParentID]],A:A,J:J),CircuitIDCheck[[#This Row],[Letter]])</f>
        <v>A</v>
      </c>
      <c r="M10" t="str">
        <f>IF(I10=IF(CircuitIDCheck[[#This Row],[RootParentID]]=0,CircuitIDCheck[[#This Row],[CircuitNumber]],_xlfn.XLOOKUP(CircuitIDCheck[[#This Row],[RootParentID]],A:A,I:I)),"",FALSE)</f>
        <v/>
      </c>
      <c r="N10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11" spans="1:14" x14ac:dyDescent="0.25">
      <c r="A11">
        <v>621</v>
      </c>
      <c r="B11" s="1" t="s">
        <v>192</v>
      </c>
      <c r="C11">
        <v>0</v>
      </c>
      <c r="D11">
        <v>0</v>
      </c>
      <c r="E11">
        <v>0</v>
      </c>
      <c r="F11">
        <v>0</v>
      </c>
      <c r="G11" t="str">
        <f>_xlfn.XLOOKUP(CircuitIDCheck[[#This Row],[LineType]],Table7[Number],Table7[LineType])</f>
        <v>Parent</v>
      </c>
      <c r="H11" s="1" t="s">
        <v>180</v>
      </c>
      <c r="I11" t="str">
        <f>LEFT(CircuitIDCheck[[#This Row],[CircuitID]],SEARCH("-",CircuitIDCheck[[#This Row],[CircuitID]])-1)</f>
        <v>1004</v>
      </c>
      <c r="J11" t="str">
        <f>RIGHT(CircuitIDCheck[[#This Row],[CircuitID]])</f>
        <v>A</v>
      </c>
      <c r="K11" t="str">
        <f>IF(CircuitIDCheck[[#This Row],[ParentID]]=0,"",_xlfn.XLOOKUP(CircuitIDCheck[[#This Row],[ParentID]],A:A,H:H))</f>
        <v/>
      </c>
      <c r="L11" t="str">
        <f>IFERROR(_xlfn.XLOOKUP(CircuitIDCheck[[#This Row],[ParentID]],A:A,J:J),CircuitIDCheck[[#This Row],[Letter]])</f>
        <v>A</v>
      </c>
      <c r="M11" t="str">
        <f>IF(I11=IF(CircuitIDCheck[[#This Row],[RootParentID]]=0,CircuitIDCheck[[#This Row],[CircuitNumber]],_xlfn.XLOOKUP(CircuitIDCheck[[#This Row],[RootParentID]],A:A,I:I)),"",FALSE)</f>
        <v/>
      </c>
      <c r="N11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12" spans="1:14" x14ac:dyDescent="0.25">
      <c r="A12">
        <v>624</v>
      </c>
      <c r="B12" s="1" t="s">
        <v>193</v>
      </c>
      <c r="C12">
        <v>1</v>
      </c>
      <c r="D12">
        <v>623</v>
      </c>
      <c r="E12">
        <v>621</v>
      </c>
      <c r="F12">
        <v>2</v>
      </c>
      <c r="G12" t="str">
        <f>_xlfn.XLOOKUP(CircuitIDCheck[[#This Row],[LineType]],Table7[Number],Table7[LineType])</f>
        <v>Continuation</v>
      </c>
      <c r="H12" s="1" t="s">
        <v>180</v>
      </c>
      <c r="I12" t="str">
        <f>LEFT(CircuitIDCheck[[#This Row],[CircuitID]],SEARCH("-",CircuitIDCheck[[#This Row],[CircuitID]])-1)</f>
        <v>1004</v>
      </c>
      <c r="J12" t="str">
        <f>RIGHT(CircuitIDCheck[[#This Row],[CircuitID]])</f>
        <v>A</v>
      </c>
      <c r="K12" t="str">
        <f>IF(CircuitIDCheck[[#This Row],[ParentID]]=0,"",_xlfn.XLOOKUP(CircuitIDCheck[[#This Row],[ParentID]],A:A,H:H))</f>
        <v>1004-C</v>
      </c>
      <c r="L12" t="str">
        <f>IFERROR(_xlfn.XLOOKUP(CircuitIDCheck[[#This Row],[ParentID]],A:A,J:J),CircuitIDCheck[[#This Row],[Letter]])</f>
        <v>C</v>
      </c>
      <c r="M12" t="str">
        <f>IF(I12=IF(CircuitIDCheck[[#This Row],[RootParentID]]=0,CircuitIDCheck[[#This Row],[CircuitNumber]],_xlfn.XLOOKUP(CircuitIDCheck[[#This Row],[RootParentID]],A:A,I:I)),"",FALSE)</f>
        <v/>
      </c>
      <c r="N12" t="b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>0</v>
      </c>
    </row>
    <row r="13" spans="1:14" x14ac:dyDescent="0.25">
      <c r="A13">
        <v>622</v>
      </c>
      <c r="B13" s="1" t="s">
        <v>194</v>
      </c>
      <c r="C13">
        <v>10</v>
      </c>
      <c r="D13">
        <v>621</v>
      </c>
      <c r="E13">
        <v>621</v>
      </c>
      <c r="F13">
        <v>1</v>
      </c>
      <c r="G13" t="str">
        <f>_xlfn.XLOOKUP(CircuitIDCheck[[#This Row],[LineType]],Table7[Number],Table7[LineType])</f>
        <v>Power Tee</v>
      </c>
      <c r="H13" s="1" t="s">
        <v>181</v>
      </c>
      <c r="I13" t="str">
        <f>LEFT(CircuitIDCheck[[#This Row],[CircuitID]],SEARCH("-",CircuitIDCheck[[#This Row],[CircuitID]])-1)</f>
        <v>1004</v>
      </c>
      <c r="J13" t="str">
        <f>RIGHT(CircuitIDCheck[[#This Row],[CircuitID]])</f>
        <v>B</v>
      </c>
      <c r="K13" t="str">
        <f>IF(CircuitIDCheck[[#This Row],[ParentID]]=0,"",_xlfn.XLOOKUP(CircuitIDCheck[[#This Row],[ParentID]],A:A,H:H))</f>
        <v>1004-A</v>
      </c>
      <c r="L13" t="str">
        <f>IFERROR(_xlfn.XLOOKUP(CircuitIDCheck[[#This Row],[ParentID]],A:A,J:J),CircuitIDCheck[[#This Row],[Letter]])</f>
        <v>A</v>
      </c>
      <c r="M13" t="str">
        <f>IF(I13=IF(CircuitIDCheck[[#This Row],[RootParentID]]=0,CircuitIDCheck[[#This Row],[CircuitNumber]],_xlfn.XLOOKUP(CircuitIDCheck[[#This Row],[RootParentID]],A:A,I:I)),"",FALSE)</f>
        <v/>
      </c>
      <c r="N13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14" spans="1:14" x14ac:dyDescent="0.25">
      <c r="A14">
        <v>623</v>
      </c>
      <c r="B14" s="1" t="s">
        <v>195</v>
      </c>
      <c r="C14">
        <v>10</v>
      </c>
      <c r="D14">
        <v>621</v>
      </c>
      <c r="E14">
        <v>621</v>
      </c>
      <c r="F14">
        <v>1</v>
      </c>
      <c r="G14" t="str">
        <f>_xlfn.XLOOKUP(CircuitIDCheck[[#This Row],[LineType]],Table7[Number],Table7[LineType])</f>
        <v>Power Tee</v>
      </c>
      <c r="H14" s="1" t="s">
        <v>182</v>
      </c>
      <c r="I14" t="str">
        <f>LEFT(CircuitIDCheck[[#This Row],[CircuitID]],SEARCH("-",CircuitIDCheck[[#This Row],[CircuitID]])-1)</f>
        <v>1004</v>
      </c>
      <c r="J14" t="str">
        <f>RIGHT(CircuitIDCheck[[#This Row],[CircuitID]])</f>
        <v>C</v>
      </c>
      <c r="K14" t="str">
        <f>IF(CircuitIDCheck[[#This Row],[ParentID]]=0,"",_xlfn.XLOOKUP(CircuitIDCheck[[#This Row],[ParentID]],A:A,H:H))</f>
        <v>1004-A</v>
      </c>
      <c r="L14" t="str">
        <f>IFERROR(_xlfn.XLOOKUP(CircuitIDCheck[[#This Row],[ParentID]],A:A,J:J),CircuitIDCheck[[#This Row],[Letter]])</f>
        <v>A</v>
      </c>
      <c r="M14" t="str">
        <f>IF(I14=IF(CircuitIDCheck[[#This Row],[RootParentID]]=0,CircuitIDCheck[[#This Row],[CircuitNumber]],_xlfn.XLOOKUP(CircuitIDCheck[[#This Row],[RootParentID]],A:A,I:I)),"",FALSE)</f>
        <v/>
      </c>
      <c r="N14" t="str">
        <f>IFERROR(IF(AND(OR(_xlfn.XLOOKUP(CircuitIDCheck[[#This Row],[RootParentID]],A:A,C:C)=0,_xlfn.XLOOKUP(CircuitIDCheck[[#This Row],[RootParentID]],A:A,C:C)=1,_xlfn.XLOOKUP(CircuitIDCheck[[#This Row],[RootParentID]],A:A,C:C)=2),AND(CircuitIDCheck[[#This Row],[LineType]]&lt;&gt;0,CircuitIDCheck[[#This Row],[LineType]]&lt;&gt;1,CircuitIDCheck[[#This Row],[LineType]]&lt;&gt;2)),
IF(CircuitIDCheck[[#This Row],[Letter]]=CircuitIDCheck[[#This Row],[LetterFromParent]],FALSE,""),IF(CircuitIDCheck[[#This Row],[Letter]]=CircuitIDCheck[[#This Row],[LetterFromParent]],"",FALSE)),"")</f>
        <v/>
      </c>
    </row>
    <row r="27" spans="12:12" x14ac:dyDescent="0.25">
      <c r="L27" t="str">
        <f>IF(AND(C18&lt;&gt;0,C18&lt;&gt;1,C18&lt;&gt;2),COUNTIFS(I:I,I18,J:J,J18),"")</f>
        <v/>
      </c>
    </row>
  </sheetData>
  <phoneticPr fontId="2" type="noConversion"/>
  <conditionalFormatting sqref="A2:N14">
    <cfRule type="expression" dxfId="21" priority="2">
      <formula>OR($M2=FALSE,$N2=FALSE)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eckID">
                <anchor>
                  <from>
                    <xdr:col>1</xdr:col>
                    <xdr:colOff>466725</xdr:colOff>
                    <xdr:row>0</xdr:row>
                    <xdr:rowOff>0</xdr:rowOff>
                  </from>
                  <to>
                    <xdr:col>1</xdr:col>
                    <xdr:colOff>1381125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59E09-461E-408F-B886-E71D55D655E0}">
  <sheetPr codeName="Sheet1">
    <tabColor rgb="FF92D050"/>
  </sheetPr>
  <dimension ref="A1:H55"/>
  <sheetViews>
    <sheetView workbookViewId="0">
      <selection activeCell="H2" sqref="H2"/>
    </sheetView>
  </sheetViews>
  <sheetFormatPr defaultRowHeight="15" x14ac:dyDescent="0.25"/>
  <cols>
    <col min="1" max="1" width="11.28515625" bestFit="1" customWidth="1"/>
    <col min="2" max="2" width="30.140625" customWidth="1"/>
    <col min="3" max="3" width="15.140625" bestFit="1" customWidth="1"/>
    <col min="4" max="4" width="23.85546875" bestFit="1" customWidth="1"/>
    <col min="5" max="5" width="10.85546875" bestFit="1" customWidth="1"/>
    <col min="6" max="6" width="12.85546875" bestFit="1" customWidth="1"/>
    <col min="7" max="7" width="12.7109375" bestFit="1" customWidth="1"/>
    <col min="8" max="8" width="12.85546875" bestFit="1" customWidth="1"/>
    <col min="9" max="9" width="14.5703125" bestFit="1" customWidth="1"/>
    <col min="10" max="10" width="10.85546875" bestFit="1" customWidth="1"/>
    <col min="11" max="11" width="16.85546875" bestFit="1" customWidth="1"/>
    <col min="12" max="12" width="9.7109375" bestFit="1" customWidth="1"/>
    <col min="13" max="13" width="11.5703125" bestFit="1" customWidth="1"/>
    <col min="14" max="15" width="13.140625" bestFit="1" customWidth="1"/>
    <col min="16" max="16" width="15" bestFit="1" customWidth="1"/>
    <col min="17" max="17" width="16.28515625" bestFit="1" customWidth="1"/>
    <col min="18" max="18" width="14.5703125" bestFit="1" customWidth="1"/>
    <col min="19" max="19" width="19" bestFit="1" customWidth="1"/>
    <col min="20" max="20" width="10.140625" bestFit="1" customWidth="1"/>
    <col min="21" max="21" width="16.5703125" bestFit="1" customWidth="1"/>
    <col min="22" max="22" width="16" bestFit="1" customWidth="1"/>
    <col min="23" max="23" width="13.42578125" bestFit="1" customWidth="1"/>
    <col min="24" max="24" width="13.7109375" bestFit="1" customWidth="1"/>
    <col min="25" max="25" width="18.140625" bestFit="1" customWidth="1"/>
    <col min="26" max="26" width="17.85546875" bestFit="1" customWidth="1"/>
    <col min="27" max="27" width="16.42578125" bestFit="1" customWidth="1"/>
    <col min="28" max="28" width="19.85546875" bestFit="1" customWidth="1"/>
    <col min="29" max="29" width="20.140625" bestFit="1" customWidth="1"/>
    <col min="30" max="30" width="21.28515625" bestFit="1" customWidth="1"/>
    <col min="31" max="31" width="20.5703125" bestFit="1" customWidth="1"/>
    <col min="32" max="32" width="14.5703125" bestFit="1" customWidth="1"/>
    <col min="33" max="33" width="21.42578125" bestFit="1" customWidth="1"/>
    <col min="34" max="34" width="14.7109375" bestFit="1" customWidth="1"/>
    <col min="35" max="35" width="19.7109375" bestFit="1" customWidth="1"/>
    <col min="36" max="36" width="16.42578125" bestFit="1" customWidth="1"/>
    <col min="37" max="37" width="20.28515625" bestFit="1" customWidth="1"/>
    <col min="38" max="38" width="34.42578125" bestFit="1" customWidth="1"/>
    <col min="39" max="39" width="30.7109375" bestFit="1" customWidth="1"/>
    <col min="40" max="40" width="21.5703125" bestFit="1" customWidth="1"/>
    <col min="41" max="41" width="21.85546875" bestFit="1" customWidth="1"/>
    <col min="42" max="42" width="10.7109375" bestFit="1" customWidth="1"/>
    <col min="43" max="43" width="13.7109375" bestFit="1" customWidth="1"/>
    <col min="44" max="44" width="14.28515625" bestFit="1" customWidth="1"/>
    <col min="45" max="45" width="17.85546875" bestFit="1" customWidth="1"/>
    <col min="46" max="46" width="14.85546875" bestFit="1" customWidth="1"/>
    <col min="47" max="47" width="15.140625" bestFit="1" customWidth="1"/>
    <col min="48" max="48" width="18.85546875" bestFit="1" customWidth="1"/>
    <col min="49" max="49" width="9.42578125" bestFit="1" customWidth="1"/>
    <col min="50" max="50" width="28.85546875" bestFit="1" customWidth="1"/>
    <col min="51" max="51" width="27.85546875" bestFit="1" customWidth="1"/>
    <col min="52" max="52" width="25.28515625" bestFit="1" customWidth="1"/>
    <col min="53" max="53" width="24.7109375" bestFit="1" customWidth="1"/>
    <col min="54" max="54" width="32" bestFit="1" customWidth="1"/>
    <col min="55" max="55" width="18.7109375" bestFit="1" customWidth="1"/>
    <col min="56" max="56" width="18.5703125" bestFit="1" customWidth="1"/>
    <col min="57" max="57" width="14.42578125" bestFit="1" customWidth="1"/>
    <col min="58" max="58" width="14.28515625" bestFit="1" customWidth="1"/>
    <col min="59" max="59" width="15.42578125" bestFit="1" customWidth="1"/>
    <col min="60" max="60" width="15.5703125" bestFit="1" customWidth="1"/>
    <col min="61" max="61" width="13.140625" bestFit="1" customWidth="1"/>
    <col min="62" max="62" width="9.7109375" bestFit="1" customWidth="1"/>
    <col min="63" max="63" width="20.85546875" bestFit="1" customWidth="1"/>
    <col min="64" max="64" width="20" bestFit="1" customWidth="1"/>
    <col min="65" max="65" width="13.7109375" bestFit="1" customWidth="1"/>
    <col min="66" max="66" width="17.5703125" bestFit="1" customWidth="1"/>
    <col min="67" max="67" width="15.42578125" bestFit="1" customWidth="1"/>
    <col min="68" max="68" width="15.5703125" bestFit="1" customWidth="1"/>
    <col min="69" max="69" width="13.140625" bestFit="1" customWidth="1"/>
    <col min="70" max="70" width="20.85546875" bestFit="1" customWidth="1"/>
    <col min="71" max="71" width="12.7109375" bestFit="1" customWidth="1"/>
    <col min="72" max="72" width="16.42578125" bestFit="1" customWidth="1"/>
    <col min="73" max="73" width="17.140625" bestFit="1" customWidth="1"/>
    <col min="74" max="74" width="15.5703125" bestFit="1" customWidth="1"/>
    <col min="75" max="75" width="19.85546875" bestFit="1" customWidth="1"/>
    <col min="76" max="76" width="12" bestFit="1" customWidth="1"/>
    <col min="77" max="77" width="21.85546875" bestFit="1" customWidth="1"/>
    <col min="78" max="78" width="18.7109375" bestFit="1" customWidth="1"/>
    <col min="79" max="79" width="20.85546875" bestFit="1" customWidth="1"/>
    <col min="80" max="80" width="26.28515625" bestFit="1" customWidth="1"/>
    <col min="81" max="81" width="23.140625" bestFit="1" customWidth="1"/>
    <col min="82" max="82" width="25.28515625" bestFit="1" customWidth="1"/>
    <col min="83" max="83" width="20.140625" bestFit="1" customWidth="1"/>
    <col min="84" max="84" width="17" bestFit="1" customWidth="1"/>
    <col min="85" max="85" width="19" bestFit="1" customWidth="1"/>
    <col min="86" max="86" width="22.42578125" bestFit="1" customWidth="1"/>
    <col min="87" max="87" width="20" bestFit="1" customWidth="1"/>
    <col min="88" max="88" width="17.85546875" bestFit="1" customWidth="1"/>
    <col min="89" max="89" width="12.5703125" bestFit="1" customWidth="1"/>
    <col min="90" max="90" width="10.140625" bestFit="1" customWidth="1"/>
    <col min="91" max="92" width="16.28515625" bestFit="1" customWidth="1"/>
    <col min="93" max="94" width="17.140625" bestFit="1" customWidth="1"/>
    <col min="95" max="96" width="24" bestFit="1" customWidth="1"/>
    <col min="97" max="98" width="24.85546875" bestFit="1" customWidth="1"/>
    <col min="99" max="99" width="20.7109375" bestFit="1" customWidth="1"/>
    <col min="100" max="100" width="21.5703125" bestFit="1" customWidth="1"/>
    <col min="101" max="101" width="25.140625" bestFit="1" customWidth="1"/>
    <col min="102" max="102" width="22" bestFit="1" customWidth="1"/>
    <col min="103" max="103" width="24.140625" bestFit="1" customWidth="1"/>
    <col min="104" max="104" width="23.85546875" bestFit="1" customWidth="1"/>
    <col min="105" max="105" width="19.140625" bestFit="1" customWidth="1"/>
    <col min="106" max="106" width="25.42578125" bestFit="1" customWidth="1"/>
    <col min="107" max="107" width="17.7109375" bestFit="1" customWidth="1"/>
    <col min="108" max="108" width="22.5703125" bestFit="1" customWidth="1"/>
    <col min="109" max="109" width="14.140625" bestFit="1" customWidth="1"/>
    <col min="110" max="110" width="19.140625" bestFit="1" customWidth="1"/>
    <col min="111" max="111" width="20.140625" bestFit="1" customWidth="1"/>
    <col min="112" max="112" width="19.140625" bestFit="1" customWidth="1"/>
    <col min="113" max="113" width="23.140625" bestFit="1" customWidth="1"/>
    <col min="114" max="114" width="21" bestFit="1" customWidth="1"/>
    <col min="115" max="115" width="20.42578125" bestFit="1" customWidth="1"/>
    <col min="116" max="116" width="21.85546875" bestFit="1" customWidth="1"/>
    <col min="117" max="117" width="22.7109375" bestFit="1" customWidth="1"/>
    <col min="118" max="118" width="21.85546875" bestFit="1" customWidth="1"/>
    <col min="119" max="119" width="16.85546875" bestFit="1" customWidth="1"/>
    <col min="120" max="120" width="25.85546875" bestFit="1" customWidth="1"/>
    <col min="121" max="121" width="21.85546875" bestFit="1" customWidth="1"/>
    <col min="122" max="122" width="23.7109375" bestFit="1" customWidth="1"/>
    <col min="123" max="123" width="23.28515625" bestFit="1" customWidth="1"/>
    <col min="124" max="124" width="20" bestFit="1" customWidth="1"/>
    <col min="125" max="125" width="24" bestFit="1" customWidth="1"/>
    <col min="126" max="126" width="26" bestFit="1" customWidth="1"/>
    <col min="127" max="127" width="17.5703125" bestFit="1" customWidth="1"/>
    <col min="128" max="128" width="31.7109375" bestFit="1" customWidth="1"/>
    <col min="129" max="129" width="19" bestFit="1" customWidth="1"/>
    <col min="130" max="130" width="16.5703125" bestFit="1" customWidth="1"/>
    <col min="131" max="131" width="30.140625" bestFit="1" customWidth="1"/>
    <col min="132" max="132" width="16.7109375" bestFit="1" customWidth="1"/>
    <col min="133" max="133" width="11.42578125" bestFit="1" customWidth="1"/>
    <col min="134" max="134" width="12.5703125" bestFit="1" customWidth="1"/>
  </cols>
  <sheetData>
    <row r="1" spans="1:8" s="3" customFormat="1" ht="31.5" customHeight="1" x14ac:dyDescent="0.25">
      <c r="A1" s="3" t="s">
        <v>18</v>
      </c>
      <c r="B1" s="3" t="s">
        <v>19</v>
      </c>
      <c r="C1" s="3" t="s">
        <v>20</v>
      </c>
      <c r="D1" s="3" t="s">
        <v>11</v>
      </c>
      <c r="E1" s="3" t="s">
        <v>21</v>
      </c>
      <c r="F1" s="3" t="s">
        <v>30</v>
      </c>
      <c r="G1" s="3" t="s">
        <v>29</v>
      </c>
      <c r="H1" s="3" t="s">
        <v>31</v>
      </c>
    </row>
    <row r="2" spans="1:8" x14ac:dyDescent="0.25">
      <c r="A2">
        <v>409</v>
      </c>
      <c r="B2">
        <v>0</v>
      </c>
      <c r="C2">
        <v>0</v>
      </c>
      <c r="D2" s="1" t="s">
        <v>59</v>
      </c>
      <c r="E2" s="1" t="s">
        <v>60</v>
      </c>
      <c r="F2" t="s">
        <v>15</v>
      </c>
      <c r="G2" s="1" t="s">
        <v>61</v>
      </c>
      <c r="H2" s="1" t="str">
        <f>IF(AreaCheck[[#This Row],[AreaName]]="",FALSE,"")</f>
        <v/>
      </c>
    </row>
    <row r="3" spans="1:8" x14ac:dyDescent="0.25">
      <c r="A3">
        <v>410</v>
      </c>
      <c r="B3">
        <v>0</v>
      </c>
      <c r="C3">
        <v>0</v>
      </c>
      <c r="D3" s="1" t="s">
        <v>62</v>
      </c>
      <c r="E3" s="1" t="s">
        <v>63</v>
      </c>
      <c r="F3" t="s">
        <v>15</v>
      </c>
      <c r="G3" s="1" t="s">
        <v>61</v>
      </c>
      <c r="H3" s="1" t="str">
        <f>IF(AreaCheck[[#This Row],[AreaName]]="",FALSE,"")</f>
        <v/>
      </c>
    </row>
    <row r="4" spans="1:8" x14ac:dyDescent="0.25">
      <c r="A4">
        <v>411</v>
      </c>
      <c r="B4">
        <v>0</v>
      </c>
      <c r="C4">
        <v>0</v>
      </c>
      <c r="D4" s="1" t="s">
        <v>64</v>
      </c>
      <c r="E4" s="1" t="s">
        <v>65</v>
      </c>
      <c r="F4" t="s">
        <v>15</v>
      </c>
      <c r="G4" s="1" t="s">
        <v>61</v>
      </c>
      <c r="H4" s="1" t="str">
        <f>IF(AreaCheck[[#This Row],[AreaName]]="",FALSE,"")</f>
        <v/>
      </c>
    </row>
    <row r="5" spans="1:8" x14ac:dyDescent="0.25">
      <c r="A5">
        <v>412</v>
      </c>
      <c r="B5">
        <v>0</v>
      </c>
      <c r="C5">
        <v>0</v>
      </c>
      <c r="D5" s="1" t="s">
        <v>66</v>
      </c>
      <c r="E5" s="1" t="s">
        <v>67</v>
      </c>
      <c r="F5" t="s">
        <v>15</v>
      </c>
      <c r="G5" s="1" t="s">
        <v>61</v>
      </c>
      <c r="H5" s="1" t="str">
        <f>IF(AreaCheck[[#This Row],[AreaName]]="",FALSE,"")</f>
        <v/>
      </c>
    </row>
    <row r="6" spans="1:8" x14ac:dyDescent="0.25">
      <c r="A6">
        <v>413</v>
      </c>
      <c r="B6">
        <v>0</v>
      </c>
      <c r="C6">
        <v>0</v>
      </c>
      <c r="D6" s="1" t="s">
        <v>68</v>
      </c>
      <c r="E6" s="1" t="s">
        <v>69</v>
      </c>
      <c r="F6" t="s">
        <v>15</v>
      </c>
      <c r="G6" s="1" t="s">
        <v>61</v>
      </c>
      <c r="H6" s="1" t="str">
        <f>IF(AreaCheck[[#This Row],[AreaName]]="",FALSE,"")</f>
        <v/>
      </c>
    </row>
    <row r="7" spans="1:8" x14ac:dyDescent="0.25">
      <c r="A7">
        <v>414</v>
      </c>
      <c r="B7">
        <v>0</v>
      </c>
      <c r="C7">
        <v>0</v>
      </c>
      <c r="D7" s="1" t="s">
        <v>70</v>
      </c>
      <c r="E7" s="1" t="s">
        <v>71</v>
      </c>
      <c r="F7" t="s">
        <v>15</v>
      </c>
      <c r="G7" s="1" t="s">
        <v>61</v>
      </c>
      <c r="H7" s="1" t="str">
        <f>IF(AreaCheck[[#This Row],[AreaName]]="",FALSE,"")</f>
        <v/>
      </c>
    </row>
    <row r="8" spans="1:8" x14ac:dyDescent="0.25">
      <c r="A8">
        <v>415</v>
      </c>
      <c r="B8">
        <v>0</v>
      </c>
      <c r="C8">
        <v>0</v>
      </c>
      <c r="D8" s="1" t="s">
        <v>72</v>
      </c>
      <c r="E8" s="1" t="s">
        <v>73</v>
      </c>
      <c r="F8" t="s">
        <v>15</v>
      </c>
      <c r="G8" s="1" t="s">
        <v>61</v>
      </c>
      <c r="H8" s="1" t="str">
        <f>IF(AreaCheck[[#This Row],[AreaName]]="",FALSE,"")</f>
        <v/>
      </c>
    </row>
    <row r="9" spans="1:8" x14ac:dyDescent="0.25">
      <c r="A9">
        <v>416</v>
      </c>
      <c r="B9">
        <v>0</v>
      </c>
      <c r="C9">
        <v>0</v>
      </c>
      <c r="D9" s="1" t="s">
        <v>74</v>
      </c>
      <c r="E9" s="1" t="s">
        <v>75</v>
      </c>
      <c r="F9" t="s">
        <v>15</v>
      </c>
      <c r="G9" s="1" t="s">
        <v>61</v>
      </c>
      <c r="H9" s="1" t="str">
        <f>IF(AreaCheck[[#This Row],[AreaName]]="",FALSE,"")</f>
        <v/>
      </c>
    </row>
    <row r="10" spans="1:8" x14ac:dyDescent="0.25">
      <c r="A10">
        <v>417</v>
      </c>
      <c r="B10">
        <v>0</v>
      </c>
      <c r="C10">
        <v>0</v>
      </c>
      <c r="D10" s="1" t="s">
        <v>76</v>
      </c>
      <c r="E10" s="1" t="s">
        <v>77</v>
      </c>
      <c r="F10" t="s">
        <v>15</v>
      </c>
      <c r="G10" s="1" t="s">
        <v>61</v>
      </c>
      <c r="H10" s="1" t="str">
        <f>IF(AreaCheck[[#This Row],[AreaName]]="",FALSE,"")</f>
        <v/>
      </c>
    </row>
    <row r="11" spans="1:8" x14ac:dyDescent="0.25">
      <c r="A11">
        <v>418</v>
      </c>
      <c r="B11">
        <v>0</v>
      </c>
      <c r="C11">
        <v>0</v>
      </c>
      <c r="D11" s="1" t="s">
        <v>78</v>
      </c>
      <c r="E11" s="1" t="s">
        <v>79</v>
      </c>
      <c r="F11" t="s">
        <v>15</v>
      </c>
      <c r="G11" s="1" t="s">
        <v>61</v>
      </c>
      <c r="H11" s="1" t="str">
        <f>IF(AreaCheck[[#This Row],[AreaName]]="",FALSE,"")</f>
        <v/>
      </c>
    </row>
    <row r="12" spans="1:8" x14ac:dyDescent="0.25">
      <c r="A12">
        <v>419</v>
      </c>
      <c r="B12">
        <v>0</v>
      </c>
      <c r="C12">
        <v>0</v>
      </c>
      <c r="D12" s="1" t="s">
        <v>80</v>
      </c>
      <c r="E12" s="1" t="s">
        <v>81</v>
      </c>
      <c r="F12" t="s">
        <v>15</v>
      </c>
      <c r="G12" s="1" t="s">
        <v>61</v>
      </c>
      <c r="H12" s="1" t="str">
        <f>IF(AreaCheck[[#This Row],[AreaName]]="",FALSE,"")</f>
        <v/>
      </c>
    </row>
    <row r="13" spans="1:8" x14ac:dyDescent="0.25">
      <c r="A13">
        <v>420</v>
      </c>
      <c r="B13">
        <v>0</v>
      </c>
      <c r="C13">
        <v>0</v>
      </c>
      <c r="D13" s="1" t="s">
        <v>82</v>
      </c>
      <c r="E13" s="1" t="s">
        <v>83</v>
      </c>
      <c r="F13" t="s">
        <v>15</v>
      </c>
      <c r="G13" s="1" t="s">
        <v>61</v>
      </c>
      <c r="H13" s="1" t="str">
        <f>IF(AreaCheck[[#This Row],[AreaName]]="",FALSE,"")</f>
        <v/>
      </c>
    </row>
    <row r="14" spans="1:8" x14ac:dyDescent="0.25">
      <c r="A14">
        <v>421</v>
      </c>
      <c r="B14">
        <v>0</v>
      </c>
      <c r="C14">
        <v>0</v>
      </c>
      <c r="D14" s="1" t="s">
        <v>84</v>
      </c>
      <c r="E14" s="1" t="s">
        <v>85</v>
      </c>
      <c r="F14" t="s">
        <v>15</v>
      </c>
      <c r="G14" s="1" t="s">
        <v>61</v>
      </c>
      <c r="H14" s="1" t="str">
        <f>IF(AreaCheck[[#This Row],[AreaName]]="",FALSE,"")</f>
        <v/>
      </c>
    </row>
    <row r="15" spans="1:8" x14ac:dyDescent="0.25">
      <c r="A15">
        <v>422</v>
      </c>
      <c r="B15">
        <v>0</v>
      </c>
      <c r="C15">
        <v>0</v>
      </c>
      <c r="D15" s="1" t="s">
        <v>86</v>
      </c>
      <c r="E15" s="1" t="s">
        <v>87</v>
      </c>
      <c r="F15" t="s">
        <v>15</v>
      </c>
      <c r="G15" s="1" t="s">
        <v>61</v>
      </c>
      <c r="H15" s="1" t="str">
        <f>IF(AreaCheck[[#This Row],[AreaName]]="",FALSE,"")</f>
        <v/>
      </c>
    </row>
    <row r="16" spans="1:8" x14ac:dyDescent="0.25">
      <c r="A16">
        <v>423</v>
      </c>
      <c r="B16">
        <v>0</v>
      </c>
      <c r="C16">
        <v>0</v>
      </c>
      <c r="D16" s="1" t="s">
        <v>88</v>
      </c>
      <c r="E16" s="1" t="s">
        <v>89</v>
      </c>
      <c r="F16" t="s">
        <v>15</v>
      </c>
      <c r="G16" s="1" t="s">
        <v>61</v>
      </c>
      <c r="H16" s="1" t="str">
        <f>IF(AreaCheck[[#This Row],[AreaName]]="",FALSE,"")</f>
        <v/>
      </c>
    </row>
    <row r="17" spans="1:8" x14ac:dyDescent="0.25">
      <c r="A17">
        <v>424</v>
      </c>
      <c r="B17">
        <v>0</v>
      </c>
      <c r="C17">
        <v>0</v>
      </c>
      <c r="D17" s="1" t="s">
        <v>90</v>
      </c>
      <c r="E17" s="1" t="s">
        <v>91</v>
      </c>
      <c r="F17" t="s">
        <v>15</v>
      </c>
      <c r="G17" s="1" t="s">
        <v>61</v>
      </c>
      <c r="H17" s="1" t="str">
        <f>IF(AreaCheck[[#This Row],[AreaName]]="",FALSE,"")</f>
        <v/>
      </c>
    </row>
    <row r="18" spans="1:8" x14ac:dyDescent="0.25">
      <c r="A18">
        <v>425</v>
      </c>
      <c r="B18">
        <v>0</v>
      </c>
      <c r="C18">
        <v>0</v>
      </c>
      <c r="D18" s="1" t="s">
        <v>92</v>
      </c>
      <c r="E18" s="1" t="s">
        <v>93</v>
      </c>
      <c r="F18" t="s">
        <v>15</v>
      </c>
      <c r="G18" s="1" t="s">
        <v>61</v>
      </c>
      <c r="H18" s="1" t="str">
        <f>IF(AreaCheck[[#This Row],[AreaName]]="",FALSE,"")</f>
        <v/>
      </c>
    </row>
    <row r="19" spans="1:8" x14ac:dyDescent="0.25">
      <c r="A19">
        <v>426</v>
      </c>
      <c r="B19">
        <v>0</v>
      </c>
      <c r="C19">
        <v>0</v>
      </c>
      <c r="D19" s="1" t="s">
        <v>94</v>
      </c>
      <c r="E19" s="1" t="s">
        <v>95</v>
      </c>
      <c r="F19" t="s">
        <v>15</v>
      </c>
      <c r="G19" s="1" t="s">
        <v>61</v>
      </c>
      <c r="H19" s="1" t="str">
        <f>IF(AreaCheck[[#This Row],[AreaName]]="",FALSE,"")</f>
        <v/>
      </c>
    </row>
    <row r="20" spans="1:8" x14ac:dyDescent="0.25">
      <c r="A20">
        <v>427</v>
      </c>
      <c r="B20">
        <v>0</v>
      </c>
      <c r="C20">
        <v>0</v>
      </c>
      <c r="D20" s="1" t="s">
        <v>96</v>
      </c>
      <c r="E20" s="1" t="s">
        <v>97</v>
      </c>
      <c r="F20" t="s">
        <v>15</v>
      </c>
      <c r="G20" s="1" t="s">
        <v>61</v>
      </c>
      <c r="H20" s="1" t="str">
        <f>IF(AreaCheck[[#This Row],[AreaName]]="",FALSE,"")</f>
        <v/>
      </c>
    </row>
    <row r="21" spans="1:8" x14ac:dyDescent="0.25">
      <c r="A21">
        <v>428</v>
      </c>
      <c r="B21">
        <v>0</v>
      </c>
      <c r="C21">
        <v>0</v>
      </c>
      <c r="D21" s="1" t="s">
        <v>98</v>
      </c>
      <c r="E21" s="1" t="s">
        <v>99</v>
      </c>
      <c r="F21" t="s">
        <v>15</v>
      </c>
      <c r="G21" s="1" t="s">
        <v>61</v>
      </c>
      <c r="H21" s="1" t="str">
        <f>IF(AreaCheck[[#This Row],[AreaName]]="",FALSE,"")</f>
        <v/>
      </c>
    </row>
    <row r="22" spans="1:8" x14ac:dyDescent="0.25">
      <c r="A22">
        <v>429</v>
      </c>
      <c r="B22">
        <v>0</v>
      </c>
      <c r="C22">
        <v>0</v>
      </c>
      <c r="D22" s="1" t="s">
        <v>100</v>
      </c>
      <c r="E22" s="1" t="s">
        <v>101</v>
      </c>
      <c r="F22" t="s">
        <v>15</v>
      </c>
      <c r="G22" s="1" t="s">
        <v>61</v>
      </c>
      <c r="H22" s="1" t="str">
        <f>IF(AreaCheck[[#This Row],[AreaName]]="",FALSE,"")</f>
        <v/>
      </c>
    </row>
    <row r="23" spans="1:8" x14ac:dyDescent="0.25">
      <c r="A23">
        <v>430</v>
      </c>
      <c r="B23">
        <v>0</v>
      </c>
      <c r="C23">
        <v>0</v>
      </c>
      <c r="D23" s="1" t="s">
        <v>102</v>
      </c>
      <c r="E23" s="1" t="s">
        <v>103</v>
      </c>
      <c r="F23" t="s">
        <v>15</v>
      </c>
      <c r="G23" s="1" t="s">
        <v>61</v>
      </c>
      <c r="H23" s="1" t="str">
        <f>IF(AreaCheck[[#This Row],[AreaName]]="",FALSE,"")</f>
        <v/>
      </c>
    </row>
    <row r="24" spans="1:8" x14ac:dyDescent="0.25">
      <c r="A24">
        <v>431</v>
      </c>
      <c r="B24">
        <v>0</v>
      </c>
      <c r="C24">
        <v>0</v>
      </c>
      <c r="D24" s="1" t="s">
        <v>104</v>
      </c>
      <c r="E24" s="1" t="s">
        <v>105</v>
      </c>
      <c r="F24" t="s">
        <v>15</v>
      </c>
      <c r="G24" s="1" t="s">
        <v>61</v>
      </c>
      <c r="H24" s="1" t="str">
        <f>IF(AreaCheck[[#This Row],[AreaName]]="",FALSE,"")</f>
        <v/>
      </c>
    </row>
    <row r="25" spans="1:8" x14ac:dyDescent="0.25">
      <c r="A25">
        <v>432</v>
      </c>
      <c r="B25">
        <v>0</v>
      </c>
      <c r="C25">
        <v>0</v>
      </c>
      <c r="D25" s="1" t="s">
        <v>106</v>
      </c>
      <c r="E25" s="1" t="s">
        <v>107</v>
      </c>
      <c r="F25" t="s">
        <v>15</v>
      </c>
      <c r="G25" s="1" t="s">
        <v>61</v>
      </c>
      <c r="H25" s="1" t="str">
        <f>IF(AreaCheck[[#This Row],[AreaName]]="",FALSE,"")</f>
        <v/>
      </c>
    </row>
    <row r="26" spans="1:8" x14ac:dyDescent="0.25">
      <c r="A26">
        <v>433</v>
      </c>
      <c r="B26">
        <v>0</v>
      </c>
      <c r="C26">
        <v>0</v>
      </c>
      <c r="D26" s="1" t="s">
        <v>108</v>
      </c>
      <c r="E26" s="1" t="s">
        <v>109</v>
      </c>
      <c r="F26" t="s">
        <v>15</v>
      </c>
      <c r="G26" s="1" t="s">
        <v>61</v>
      </c>
      <c r="H26" s="1" t="str">
        <f>IF(AreaCheck[[#This Row],[AreaName]]="",FALSE,"")</f>
        <v/>
      </c>
    </row>
    <row r="27" spans="1:8" x14ac:dyDescent="0.25">
      <c r="A27">
        <v>434</v>
      </c>
      <c r="B27">
        <v>0</v>
      </c>
      <c r="C27">
        <v>0</v>
      </c>
      <c r="D27" s="1" t="s">
        <v>110</v>
      </c>
      <c r="E27" s="1" t="s">
        <v>111</v>
      </c>
      <c r="F27" t="s">
        <v>15</v>
      </c>
      <c r="G27" s="1" t="s">
        <v>61</v>
      </c>
      <c r="H27" s="1" t="str">
        <f>IF(AreaCheck[[#This Row],[AreaName]]="",FALSE,"")</f>
        <v/>
      </c>
    </row>
    <row r="28" spans="1:8" x14ac:dyDescent="0.25">
      <c r="A28">
        <v>435</v>
      </c>
      <c r="B28">
        <v>0</v>
      </c>
      <c r="C28">
        <v>0</v>
      </c>
      <c r="D28" s="1" t="s">
        <v>110</v>
      </c>
      <c r="E28" s="1" t="s">
        <v>112</v>
      </c>
      <c r="F28" t="s">
        <v>15</v>
      </c>
      <c r="G28" s="1" t="s">
        <v>61</v>
      </c>
      <c r="H28" s="1" t="str">
        <f>IF(AreaCheck[[#This Row],[AreaName]]="",FALSE,"")</f>
        <v/>
      </c>
    </row>
    <row r="29" spans="1:8" x14ac:dyDescent="0.25">
      <c r="A29">
        <v>436</v>
      </c>
      <c r="B29">
        <v>0</v>
      </c>
      <c r="C29">
        <v>0</v>
      </c>
      <c r="D29" s="1" t="s">
        <v>113</v>
      </c>
      <c r="E29" s="1" t="s">
        <v>114</v>
      </c>
      <c r="F29" t="s">
        <v>15</v>
      </c>
      <c r="G29" s="1" t="s">
        <v>61</v>
      </c>
      <c r="H29" s="1" t="str">
        <f>IF(AreaCheck[[#This Row],[AreaName]]="",FALSE,"")</f>
        <v/>
      </c>
    </row>
    <row r="30" spans="1:8" x14ac:dyDescent="0.25">
      <c r="A30">
        <v>437</v>
      </c>
      <c r="B30">
        <v>0</v>
      </c>
      <c r="C30">
        <v>0</v>
      </c>
      <c r="D30" s="1" t="s">
        <v>115</v>
      </c>
      <c r="E30" s="1" t="s">
        <v>116</v>
      </c>
      <c r="F30" t="s">
        <v>15</v>
      </c>
      <c r="G30" s="1" t="s">
        <v>61</v>
      </c>
      <c r="H30" s="1" t="str">
        <f>IF(AreaCheck[[#This Row],[AreaName]]="",FALSE,"")</f>
        <v/>
      </c>
    </row>
    <row r="31" spans="1:8" x14ac:dyDescent="0.25">
      <c r="A31">
        <v>438</v>
      </c>
      <c r="B31">
        <v>0</v>
      </c>
      <c r="C31">
        <v>0</v>
      </c>
      <c r="D31" s="1" t="s">
        <v>117</v>
      </c>
      <c r="E31" s="1" t="s">
        <v>118</v>
      </c>
      <c r="F31" t="s">
        <v>15</v>
      </c>
      <c r="G31" s="1" t="s">
        <v>61</v>
      </c>
      <c r="H31" s="1" t="str">
        <f>IF(AreaCheck[[#This Row],[AreaName]]="",FALSE,"")</f>
        <v/>
      </c>
    </row>
    <row r="32" spans="1:8" x14ac:dyDescent="0.25">
      <c r="A32">
        <v>439</v>
      </c>
      <c r="B32">
        <v>0</v>
      </c>
      <c r="C32">
        <v>0</v>
      </c>
      <c r="D32" s="1" t="s">
        <v>119</v>
      </c>
      <c r="E32" s="1" t="s">
        <v>120</v>
      </c>
      <c r="F32" t="s">
        <v>15</v>
      </c>
      <c r="G32" s="1" t="s">
        <v>61</v>
      </c>
      <c r="H32" s="1" t="str">
        <f>IF(AreaCheck[[#This Row],[AreaName]]="",FALSE,"")</f>
        <v/>
      </c>
    </row>
    <row r="33" spans="1:8" x14ac:dyDescent="0.25">
      <c r="A33">
        <v>440</v>
      </c>
      <c r="B33">
        <v>0</v>
      </c>
      <c r="C33">
        <v>0</v>
      </c>
      <c r="D33" s="1" t="s">
        <v>121</v>
      </c>
      <c r="E33" s="1" t="s">
        <v>122</v>
      </c>
      <c r="F33" t="s">
        <v>15</v>
      </c>
      <c r="G33" s="1" t="s">
        <v>61</v>
      </c>
      <c r="H33" s="1" t="str">
        <f>IF(AreaCheck[[#This Row],[AreaName]]="",FALSE,"")</f>
        <v/>
      </c>
    </row>
    <row r="34" spans="1:8" x14ac:dyDescent="0.25">
      <c r="A34">
        <v>441</v>
      </c>
      <c r="B34">
        <v>0</v>
      </c>
      <c r="C34">
        <v>0</v>
      </c>
      <c r="D34" s="1" t="s">
        <v>123</v>
      </c>
      <c r="E34" s="1" t="s">
        <v>124</v>
      </c>
      <c r="F34" t="s">
        <v>15</v>
      </c>
      <c r="G34" s="1" t="s">
        <v>61</v>
      </c>
      <c r="H34" s="1" t="str">
        <f>IF(AreaCheck[[#This Row],[AreaName]]="",FALSE,"")</f>
        <v/>
      </c>
    </row>
    <row r="35" spans="1:8" x14ac:dyDescent="0.25">
      <c r="A35">
        <v>442</v>
      </c>
      <c r="B35">
        <v>0</v>
      </c>
      <c r="C35">
        <v>0</v>
      </c>
      <c r="D35" s="1" t="s">
        <v>125</v>
      </c>
      <c r="E35" s="1" t="s">
        <v>126</v>
      </c>
      <c r="F35" t="s">
        <v>15</v>
      </c>
      <c r="G35" s="1" t="s">
        <v>61</v>
      </c>
      <c r="H35" s="1" t="str">
        <f>IF(AreaCheck[[#This Row],[AreaName]]="",FALSE,"")</f>
        <v/>
      </c>
    </row>
    <row r="36" spans="1:8" x14ac:dyDescent="0.25">
      <c r="A36">
        <v>443</v>
      </c>
      <c r="B36">
        <v>0</v>
      </c>
      <c r="C36">
        <v>0</v>
      </c>
      <c r="D36" s="1" t="s">
        <v>127</v>
      </c>
      <c r="E36" s="1" t="s">
        <v>128</v>
      </c>
      <c r="F36" t="s">
        <v>15</v>
      </c>
      <c r="G36" s="1" t="s">
        <v>61</v>
      </c>
      <c r="H36" s="1" t="str">
        <f>IF(AreaCheck[[#This Row],[AreaName]]="",FALSE,"")</f>
        <v/>
      </c>
    </row>
    <row r="37" spans="1:8" x14ac:dyDescent="0.25">
      <c r="A37">
        <v>444</v>
      </c>
      <c r="B37">
        <v>0</v>
      </c>
      <c r="C37">
        <v>0</v>
      </c>
      <c r="D37" s="1" t="s">
        <v>129</v>
      </c>
      <c r="E37" s="1" t="s">
        <v>130</v>
      </c>
      <c r="F37" t="s">
        <v>15</v>
      </c>
      <c r="G37" s="1" t="s">
        <v>61</v>
      </c>
      <c r="H37" s="1" t="str">
        <f>IF(AreaCheck[[#This Row],[AreaName]]="",FALSE,"")</f>
        <v/>
      </c>
    </row>
    <row r="38" spans="1:8" x14ac:dyDescent="0.25">
      <c r="A38">
        <v>445</v>
      </c>
      <c r="B38">
        <v>0</v>
      </c>
      <c r="C38">
        <v>0</v>
      </c>
      <c r="D38" s="1" t="s">
        <v>131</v>
      </c>
      <c r="E38" s="1" t="s">
        <v>132</v>
      </c>
      <c r="F38" t="s">
        <v>15</v>
      </c>
      <c r="G38" s="1" t="s">
        <v>61</v>
      </c>
      <c r="H38" s="1" t="str">
        <f>IF(AreaCheck[[#This Row],[AreaName]]="",FALSE,"")</f>
        <v/>
      </c>
    </row>
    <row r="39" spans="1:8" x14ac:dyDescent="0.25">
      <c r="A39">
        <v>446</v>
      </c>
      <c r="B39">
        <v>0</v>
      </c>
      <c r="C39">
        <v>0</v>
      </c>
      <c r="D39" s="1" t="s">
        <v>133</v>
      </c>
      <c r="E39" s="1" t="s">
        <v>134</v>
      </c>
      <c r="F39" t="s">
        <v>15</v>
      </c>
      <c r="G39" s="1" t="s">
        <v>61</v>
      </c>
      <c r="H39" s="1" t="str">
        <f>IF(AreaCheck[[#This Row],[AreaName]]="",FALSE,"")</f>
        <v/>
      </c>
    </row>
    <row r="40" spans="1:8" x14ac:dyDescent="0.25">
      <c r="A40">
        <v>447</v>
      </c>
      <c r="B40">
        <v>0</v>
      </c>
      <c r="C40">
        <v>0</v>
      </c>
      <c r="D40" s="1" t="s">
        <v>135</v>
      </c>
      <c r="E40" s="1" t="s">
        <v>136</v>
      </c>
      <c r="F40" t="s">
        <v>15</v>
      </c>
      <c r="G40" s="1" t="s">
        <v>61</v>
      </c>
      <c r="H40" s="1" t="str">
        <f>IF(AreaCheck[[#This Row],[AreaName]]="",FALSE,"")</f>
        <v/>
      </c>
    </row>
    <row r="41" spans="1:8" x14ac:dyDescent="0.25">
      <c r="A41">
        <v>448</v>
      </c>
      <c r="B41">
        <v>0</v>
      </c>
      <c r="C41">
        <v>0</v>
      </c>
      <c r="D41" s="1" t="s">
        <v>135</v>
      </c>
      <c r="E41" s="1" t="s">
        <v>137</v>
      </c>
      <c r="F41" t="s">
        <v>15</v>
      </c>
      <c r="G41" s="1" t="s">
        <v>61</v>
      </c>
      <c r="H41" s="1" t="str">
        <f>IF(AreaCheck[[#This Row],[AreaName]]="",FALSE,"")</f>
        <v/>
      </c>
    </row>
    <row r="42" spans="1:8" x14ac:dyDescent="0.25">
      <c r="A42">
        <v>449</v>
      </c>
      <c r="B42">
        <v>0</v>
      </c>
      <c r="C42">
        <v>0</v>
      </c>
      <c r="D42" s="1" t="s">
        <v>138</v>
      </c>
      <c r="E42" s="1" t="s">
        <v>139</v>
      </c>
      <c r="F42" t="s">
        <v>15</v>
      </c>
      <c r="G42" s="1" t="s">
        <v>61</v>
      </c>
      <c r="H42" s="1" t="str">
        <f>IF(AreaCheck[[#This Row],[AreaName]]="",FALSE,"")</f>
        <v/>
      </c>
    </row>
    <row r="43" spans="1:8" x14ac:dyDescent="0.25">
      <c r="A43">
        <v>450</v>
      </c>
      <c r="B43">
        <v>0</v>
      </c>
      <c r="C43">
        <v>0</v>
      </c>
      <c r="D43" s="1" t="s">
        <v>140</v>
      </c>
      <c r="E43" s="1" t="s">
        <v>141</v>
      </c>
      <c r="F43" t="s">
        <v>15</v>
      </c>
      <c r="G43" s="1" t="s">
        <v>61</v>
      </c>
      <c r="H43" s="1" t="str">
        <f>IF(AreaCheck[[#This Row],[AreaName]]="",FALSE,"")</f>
        <v/>
      </c>
    </row>
    <row r="44" spans="1:8" x14ac:dyDescent="0.25">
      <c r="A44">
        <v>451</v>
      </c>
      <c r="B44">
        <v>0</v>
      </c>
      <c r="C44">
        <v>0</v>
      </c>
      <c r="D44" s="1" t="s">
        <v>140</v>
      </c>
      <c r="E44" s="1" t="s">
        <v>142</v>
      </c>
      <c r="F44" t="s">
        <v>15</v>
      </c>
      <c r="G44" s="1" t="s">
        <v>61</v>
      </c>
      <c r="H44" s="1" t="str">
        <f>IF(AreaCheck[[#This Row],[AreaName]]="",FALSE,"")</f>
        <v/>
      </c>
    </row>
    <row r="45" spans="1:8" x14ac:dyDescent="0.25">
      <c r="A45">
        <v>452</v>
      </c>
      <c r="B45">
        <v>0</v>
      </c>
      <c r="C45">
        <v>0</v>
      </c>
      <c r="D45" s="1" t="s">
        <v>143</v>
      </c>
      <c r="E45" s="1" t="s">
        <v>144</v>
      </c>
      <c r="F45" t="s">
        <v>15</v>
      </c>
      <c r="G45" s="1" t="s">
        <v>61</v>
      </c>
      <c r="H45" s="1" t="str">
        <f>IF(AreaCheck[[#This Row],[AreaName]]="",FALSE,"")</f>
        <v/>
      </c>
    </row>
    <row r="46" spans="1:8" x14ac:dyDescent="0.25">
      <c r="A46">
        <v>453</v>
      </c>
      <c r="B46">
        <v>0</v>
      </c>
      <c r="C46">
        <v>0</v>
      </c>
      <c r="D46" s="1" t="s">
        <v>145</v>
      </c>
      <c r="E46" s="1" t="s">
        <v>146</v>
      </c>
      <c r="F46" t="s">
        <v>15</v>
      </c>
      <c r="G46" s="1" t="s">
        <v>61</v>
      </c>
      <c r="H46" s="1" t="str">
        <f>IF(AreaCheck[[#This Row],[AreaName]]="",FALSE,"")</f>
        <v/>
      </c>
    </row>
    <row r="47" spans="1:8" x14ac:dyDescent="0.25">
      <c r="A47">
        <v>454</v>
      </c>
      <c r="B47">
        <v>0</v>
      </c>
      <c r="C47">
        <v>0</v>
      </c>
      <c r="D47" s="1" t="s">
        <v>145</v>
      </c>
      <c r="E47" s="1" t="s">
        <v>147</v>
      </c>
      <c r="F47" t="s">
        <v>15</v>
      </c>
      <c r="G47" s="1" t="s">
        <v>61</v>
      </c>
      <c r="H47" s="1" t="str">
        <f>IF(AreaCheck[[#This Row],[AreaName]]="",FALSE,"")</f>
        <v/>
      </c>
    </row>
    <row r="48" spans="1:8" x14ac:dyDescent="0.25">
      <c r="A48">
        <v>455</v>
      </c>
      <c r="B48">
        <v>0</v>
      </c>
      <c r="C48">
        <v>0</v>
      </c>
      <c r="D48" s="1" t="s">
        <v>148</v>
      </c>
      <c r="E48" s="1" t="s">
        <v>149</v>
      </c>
      <c r="F48" t="s">
        <v>15</v>
      </c>
      <c r="G48" s="1" t="s">
        <v>61</v>
      </c>
      <c r="H48" s="1" t="str">
        <f>IF(AreaCheck[[#This Row],[AreaName]]="",FALSE,"")</f>
        <v/>
      </c>
    </row>
    <row r="49" spans="1:8" x14ac:dyDescent="0.25">
      <c r="A49">
        <v>456</v>
      </c>
      <c r="B49">
        <v>0</v>
      </c>
      <c r="C49">
        <v>0</v>
      </c>
      <c r="D49" s="1" t="s">
        <v>150</v>
      </c>
      <c r="E49" s="1" t="s">
        <v>151</v>
      </c>
      <c r="F49" t="s">
        <v>15</v>
      </c>
      <c r="G49" s="1" t="s">
        <v>61</v>
      </c>
      <c r="H49" s="1" t="str">
        <f>IF(AreaCheck[[#This Row],[AreaName]]="",FALSE,"")</f>
        <v/>
      </c>
    </row>
    <row r="50" spans="1:8" x14ac:dyDescent="0.25">
      <c r="A50">
        <v>457</v>
      </c>
      <c r="B50">
        <v>0</v>
      </c>
      <c r="C50">
        <v>0</v>
      </c>
      <c r="D50" s="1" t="s">
        <v>150</v>
      </c>
      <c r="E50" s="1" t="s">
        <v>152</v>
      </c>
      <c r="F50" t="s">
        <v>15</v>
      </c>
      <c r="G50" s="1" t="s">
        <v>61</v>
      </c>
      <c r="H50" s="1" t="str">
        <f>IF(AreaCheck[[#This Row],[AreaName]]="",FALSE,"")</f>
        <v/>
      </c>
    </row>
    <row r="51" spans="1:8" x14ac:dyDescent="0.25">
      <c r="A51">
        <v>458</v>
      </c>
      <c r="B51">
        <v>457</v>
      </c>
      <c r="C51">
        <v>457</v>
      </c>
      <c r="D51" s="1" t="s">
        <v>153</v>
      </c>
      <c r="E51" s="1" t="s">
        <v>152</v>
      </c>
      <c r="F51" t="s">
        <v>5</v>
      </c>
      <c r="G51" s="1" t="s">
        <v>61</v>
      </c>
      <c r="H51" s="1" t="str">
        <f>IF(AreaCheck[[#This Row],[AreaName]]="",FALSE,"")</f>
        <v/>
      </c>
    </row>
    <row r="52" spans="1:8" x14ac:dyDescent="0.25">
      <c r="A52">
        <v>459</v>
      </c>
      <c r="B52">
        <v>0</v>
      </c>
      <c r="C52">
        <v>0</v>
      </c>
      <c r="D52" s="1" t="s">
        <v>154</v>
      </c>
      <c r="E52" s="1" t="s">
        <v>155</v>
      </c>
      <c r="F52" t="s">
        <v>15</v>
      </c>
      <c r="G52" s="1" t="s">
        <v>61</v>
      </c>
      <c r="H52" s="1" t="str">
        <f>IF(AreaCheck[[#This Row],[AreaName]]="",FALSE,"")</f>
        <v/>
      </c>
    </row>
    <row r="53" spans="1:8" x14ac:dyDescent="0.25">
      <c r="A53">
        <v>460</v>
      </c>
      <c r="B53">
        <v>0</v>
      </c>
      <c r="C53">
        <v>0</v>
      </c>
      <c r="D53" s="1" t="s">
        <v>156</v>
      </c>
      <c r="E53" s="1" t="s">
        <v>157</v>
      </c>
      <c r="F53" t="s">
        <v>15</v>
      </c>
      <c r="G53" s="1" t="s">
        <v>61</v>
      </c>
      <c r="H53" s="1" t="str">
        <f>IF(AreaCheck[[#This Row],[AreaName]]="",FALSE,"")</f>
        <v/>
      </c>
    </row>
    <row r="54" spans="1:8" x14ac:dyDescent="0.25">
      <c r="A54">
        <v>461</v>
      </c>
      <c r="B54">
        <v>0</v>
      </c>
      <c r="C54">
        <v>0</v>
      </c>
      <c r="D54" s="1" t="s">
        <v>156</v>
      </c>
      <c r="E54" s="1" t="s">
        <v>158</v>
      </c>
      <c r="F54" t="s">
        <v>15</v>
      </c>
      <c r="G54" s="1" t="s">
        <v>61</v>
      </c>
      <c r="H54" s="1" t="str">
        <f>IF(AreaCheck[[#This Row],[AreaName]]="",FALSE,"")</f>
        <v/>
      </c>
    </row>
    <row r="55" spans="1:8" x14ac:dyDescent="0.25">
      <c r="A55">
        <v>462</v>
      </c>
      <c r="B55">
        <v>461</v>
      </c>
      <c r="C55">
        <v>461</v>
      </c>
      <c r="D55" s="1" t="s">
        <v>159</v>
      </c>
      <c r="E55" s="1" t="s">
        <v>158</v>
      </c>
      <c r="F55" t="s">
        <v>5</v>
      </c>
      <c r="G55" s="1" t="s">
        <v>61</v>
      </c>
      <c r="H55" s="1" t="str">
        <f>IF(AreaCheck[[#This Row],[AreaName]]="",FALSE,"")</f>
        <v/>
      </c>
    </row>
  </sheetData>
  <phoneticPr fontId="2" type="noConversion"/>
  <conditionalFormatting sqref="A2:H55">
    <cfRule type="expression" dxfId="18" priority="1">
      <formula>$H2=FALSE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heckArea">
                <anchor moveWithCells="1" sizeWithCells="1">
                  <from>
                    <xdr:col>1</xdr:col>
                    <xdr:colOff>704850</xdr:colOff>
                    <xdr:row>0</xdr:row>
                    <xdr:rowOff>57150</xdr:rowOff>
                  </from>
                  <to>
                    <xdr:col>1</xdr:col>
                    <xdr:colOff>1495425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C5665-D003-46F8-8E8F-068BDD79BD06}">
  <sheetPr codeName="Sheet6">
    <tabColor rgb="FF92D050"/>
  </sheetPr>
  <dimension ref="A1:N325"/>
  <sheetViews>
    <sheetView workbookViewId="0">
      <selection activeCell="M7" sqref="M7"/>
    </sheetView>
  </sheetViews>
  <sheetFormatPr defaultRowHeight="15" x14ac:dyDescent="0.25"/>
  <cols>
    <col min="1" max="1" width="11.28515625" bestFit="1" customWidth="1"/>
    <col min="2" max="2" width="11" bestFit="1" customWidth="1"/>
    <col min="3" max="3" width="15.140625" bestFit="1" customWidth="1"/>
    <col min="4" max="4" width="20.85546875" bestFit="1" customWidth="1"/>
    <col min="5" max="5" width="10.85546875" bestFit="1" customWidth="1"/>
    <col min="6" max="6" width="12.85546875" bestFit="1" customWidth="1"/>
    <col min="7" max="8" width="14.42578125" bestFit="1" customWidth="1"/>
    <col min="9" max="9" width="13.140625" bestFit="1" customWidth="1"/>
    <col min="10" max="10" width="16.42578125" customWidth="1"/>
    <col min="11" max="11" width="14.5703125" bestFit="1" customWidth="1"/>
    <col min="12" max="12" width="17.42578125" bestFit="1" customWidth="1"/>
    <col min="13" max="13" width="13.140625" bestFit="1" customWidth="1"/>
    <col min="14" max="14" width="20.28515625" bestFit="1" customWidth="1"/>
  </cols>
  <sheetData>
    <row r="1" spans="1:14" ht="31.5" customHeight="1" x14ac:dyDescent="0.25">
      <c r="A1" t="s">
        <v>18</v>
      </c>
      <c r="B1" t="s">
        <v>19</v>
      </c>
      <c r="C1" t="s">
        <v>20</v>
      </c>
      <c r="D1" t="s">
        <v>11</v>
      </c>
      <c r="E1" t="s">
        <v>21</v>
      </c>
      <c r="F1" t="s">
        <v>30</v>
      </c>
      <c r="G1" t="s">
        <v>41</v>
      </c>
      <c r="H1" t="s">
        <v>47</v>
      </c>
      <c r="I1" t="s">
        <v>42</v>
      </c>
      <c r="J1" t="s">
        <v>46</v>
      </c>
      <c r="K1" t="s">
        <v>58</v>
      </c>
      <c r="L1" t="s">
        <v>55</v>
      </c>
      <c r="M1" t="s">
        <v>56</v>
      </c>
      <c r="N1" t="s">
        <v>57</v>
      </c>
    </row>
    <row r="2" spans="1:14" x14ac:dyDescent="0.25">
      <c r="A2">
        <v>409</v>
      </c>
      <c r="B2">
        <v>0</v>
      </c>
      <c r="C2">
        <v>0</v>
      </c>
      <c r="D2" s="1" t="s">
        <v>59</v>
      </c>
      <c r="E2" s="1" t="s">
        <v>60</v>
      </c>
      <c r="F2" t="s">
        <v>15</v>
      </c>
      <c r="G2" s="1" t="s">
        <v>43</v>
      </c>
      <c r="H2">
        <v>10</v>
      </c>
      <c r="I2">
        <v>1</v>
      </c>
      <c r="J2" t="s">
        <v>160</v>
      </c>
      <c r="K2" t="str">
        <f>RIGHT(BOMCheck[[#This Row],[CircuitID]])</f>
        <v>1</v>
      </c>
      <c r="L2" s="1">
        <f>SUMIFS(I:I,J:J,BOMCheck[[#This Row],[CitcuitNumber]],H:H,7)</f>
        <v>9</v>
      </c>
      <c r="M2" s="1">
        <f>SUMIFS(I:I,J:J,BOMCheck[[#This Row],[CitcuitNumber]],G:G,"IEK-25-04")</f>
        <v>0</v>
      </c>
      <c r="N2" s="1" t="str" cm="1">
        <f t="array" ref="N2">_xlfn.TEXTJOIN(", ",TRUE,_xlfn.UNIQUE(IF(BOMCheck[[#This Row],[CitcuitNumber]]=J:J,K:K,"")))</f>
        <v>1, 2, 3, 4, 5, 6, 7, 8, 9</v>
      </c>
    </row>
    <row r="3" spans="1:14" x14ac:dyDescent="0.25">
      <c r="A3">
        <v>409</v>
      </c>
      <c r="B3">
        <v>0</v>
      </c>
      <c r="C3">
        <v>0</v>
      </c>
      <c r="D3" s="1" t="s">
        <v>59</v>
      </c>
      <c r="E3" s="1" t="s">
        <v>60</v>
      </c>
      <c r="F3" t="s">
        <v>15</v>
      </c>
      <c r="G3" s="1" t="s">
        <v>161</v>
      </c>
      <c r="H3">
        <v>4</v>
      </c>
      <c r="I3">
        <v>1</v>
      </c>
      <c r="J3" t="s">
        <v>160</v>
      </c>
      <c r="K3" t="str">
        <f>RIGHT(BOMCheck[[#This Row],[CircuitID]])</f>
        <v>1</v>
      </c>
      <c r="L3" s="1">
        <f>SUMIFS(I:I,J:J,BOMCheck[[#This Row],[CitcuitNumber]],H:H,7)</f>
        <v>9</v>
      </c>
      <c r="M3" s="1">
        <f>SUMIFS(I:I,J:J,BOMCheck[[#This Row],[CitcuitNumber]],G:G,"IEK-25-04")</f>
        <v>0</v>
      </c>
      <c r="N3" s="1" t="str" cm="1">
        <f t="array" ref="N3">_xlfn.TEXTJOIN(", ",TRUE,_xlfn.UNIQUE(IF(BOMCheck[[#This Row],[CitcuitNumber]]=J:J,K:K,"")))</f>
        <v>1, 2, 3, 4, 5, 6, 7, 8, 9</v>
      </c>
    </row>
    <row r="4" spans="1:14" x14ac:dyDescent="0.25">
      <c r="A4">
        <v>409</v>
      </c>
      <c r="B4">
        <v>0</v>
      </c>
      <c r="C4">
        <v>0</v>
      </c>
      <c r="D4" s="1" t="s">
        <v>59</v>
      </c>
      <c r="E4" s="1" t="s">
        <v>60</v>
      </c>
      <c r="F4" t="s">
        <v>15</v>
      </c>
      <c r="G4" s="1" t="s">
        <v>162</v>
      </c>
      <c r="H4">
        <v>7</v>
      </c>
      <c r="I4">
        <v>1</v>
      </c>
      <c r="J4" t="s">
        <v>160</v>
      </c>
      <c r="K4" t="str">
        <f>RIGHT(BOMCheck[[#This Row],[CircuitID]])</f>
        <v>1</v>
      </c>
      <c r="L4" s="1">
        <f>SUMIFS(I:I,J:J,BOMCheck[[#This Row],[CitcuitNumber]],H:H,7)</f>
        <v>9</v>
      </c>
      <c r="M4" s="1">
        <f>SUMIFS(I:I,J:J,BOMCheck[[#This Row],[CitcuitNumber]],G:G,"IEK-25-04")</f>
        <v>0</v>
      </c>
      <c r="N4" s="1" t="str" cm="1">
        <f t="array" ref="N4">_xlfn.TEXTJOIN(", ",TRUE,_xlfn.UNIQUE(IF(BOMCheck[[#This Row],[CitcuitNumber]]=J:J,K:K,"")))</f>
        <v>1, 2, 3, 4, 5, 6, 7, 8, 9</v>
      </c>
    </row>
    <row r="5" spans="1:14" x14ac:dyDescent="0.25">
      <c r="A5">
        <v>409</v>
      </c>
      <c r="B5">
        <v>0</v>
      </c>
      <c r="C5">
        <v>0</v>
      </c>
      <c r="D5" s="1" t="s">
        <v>59</v>
      </c>
      <c r="E5" s="1" t="s">
        <v>60</v>
      </c>
      <c r="F5" t="s">
        <v>15</v>
      </c>
      <c r="G5" s="1" t="s">
        <v>163</v>
      </c>
      <c r="H5">
        <v>13</v>
      </c>
      <c r="I5">
        <v>27</v>
      </c>
      <c r="J5" t="s">
        <v>160</v>
      </c>
      <c r="K5" t="str">
        <f>RIGHT(BOMCheck[[#This Row],[CircuitID]])</f>
        <v>1</v>
      </c>
      <c r="L5" s="1">
        <f>SUMIFS(I:I,J:J,BOMCheck[[#This Row],[CitcuitNumber]],H:H,7)</f>
        <v>9</v>
      </c>
      <c r="M5" s="1">
        <f>SUMIFS(I:I,J:J,BOMCheck[[#This Row],[CitcuitNumber]],G:G,"IEK-25-04")</f>
        <v>0</v>
      </c>
      <c r="N5" s="1" t="str" cm="1">
        <f t="array" ref="N5">_xlfn.TEXTJOIN(", ",TRUE,_xlfn.UNIQUE(IF(BOMCheck[[#This Row],[CitcuitNumber]]=J:J,K:K,"")))</f>
        <v>1, 2, 3, 4, 5, 6, 7, 8, 9</v>
      </c>
    </row>
    <row r="6" spans="1:14" x14ac:dyDescent="0.25">
      <c r="A6">
        <v>409</v>
      </c>
      <c r="B6">
        <v>0</v>
      </c>
      <c r="C6">
        <v>0</v>
      </c>
      <c r="D6" s="1" t="s">
        <v>59</v>
      </c>
      <c r="E6" s="1" t="s">
        <v>60</v>
      </c>
      <c r="F6" t="s">
        <v>15</v>
      </c>
      <c r="G6" s="1" t="s">
        <v>44</v>
      </c>
      <c r="H6">
        <v>11</v>
      </c>
      <c r="I6">
        <v>22.3</v>
      </c>
      <c r="J6" t="s">
        <v>160</v>
      </c>
      <c r="K6" t="str">
        <f>RIGHT(BOMCheck[[#This Row],[CircuitID]])</f>
        <v>1</v>
      </c>
      <c r="L6" s="1">
        <f>SUMIFS(I:I,J:J,BOMCheck[[#This Row],[CitcuitNumber]],H:H,7)</f>
        <v>9</v>
      </c>
      <c r="M6" s="1">
        <f>SUMIFS(I:I,J:J,BOMCheck[[#This Row],[CitcuitNumber]],G:G,"IEK-25-04")</f>
        <v>0</v>
      </c>
      <c r="N6" s="1" t="str" cm="1">
        <f t="array" ref="N6">_xlfn.TEXTJOIN(", ",TRUE,_xlfn.UNIQUE(IF(BOMCheck[[#This Row],[CitcuitNumber]]=J:J,K:K,"")))</f>
        <v>1, 2, 3, 4, 5, 6, 7, 8, 9</v>
      </c>
    </row>
    <row r="7" spans="1:14" x14ac:dyDescent="0.25">
      <c r="A7">
        <v>409</v>
      </c>
      <c r="B7">
        <v>0</v>
      </c>
      <c r="C7">
        <v>0</v>
      </c>
      <c r="D7" s="1" t="s">
        <v>59</v>
      </c>
      <c r="E7" s="1" t="s">
        <v>60</v>
      </c>
      <c r="F7" t="s">
        <v>15</v>
      </c>
      <c r="G7" s="1" t="s">
        <v>164</v>
      </c>
      <c r="H7">
        <v>1</v>
      </c>
      <c r="I7">
        <v>309.70999999999998</v>
      </c>
      <c r="J7" t="s">
        <v>160</v>
      </c>
      <c r="K7" t="str">
        <f>RIGHT(BOMCheck[[#This Row],[CircuitID]])</f>
        <v>1</v>
      </c>
      <c r="L7" s="1">
        <f>SUMIFS(I:I,J:J,BOMCheck[[#This Row],[CitcuitNumber]],H:H,7)</f>
        <v>9</v>
      </c>
      <c r="M7" s="1">
        <f>SUMIFS(I:I,J:J,BOMCheck[[#This Row],[CitcuitNumber]],G:G,"IEK-25-04")</f>
        <v>0</v>
      </c>
      <c r="N7" s="1" t="str" cm="1">
        <f t="array" ref="N7">_xlfn.TEXTJOIN(", ",TRUE,_xlfn.UNIQUE(IF(BOMCheck[[#This Row],[CitcuitNumber]]=J:J,K:K,"")))</f>
        <v>1, 2, 3, 4, 5, 6, 7, 8, 9</v>
      </c>
    </row>
    <row r="8" spans="1:14" x14ac:dyDescent="0.25">
      <c r="A8">
        <v>410</v>
      </c>
      <c r="B8">
        <v>0</v>
      </c>
      <c r="C8">
        <v>0</v>
      </c>
      <c r="D8" s="1" t="s">
        <v>62</v>
      </c>
      <c r="E8" s="1" t="s">
        <v>63</v>
      </c>
      <c r="F8" t="s">
        <v>15</v>
      </c>
      <c r="G8" s="1" t="s">
        <v>162</v>
      </c>
      <c r="H8">
        <v>7</v>
      </c>
      <c r="I8">
        <v>1</v>
      </c>
      <c r="J8" t="s">
        <v>160</v>
      </c>
      <c r="K8" t="str">
        <f>RIGHT(BOMCheck[[#This Row],[CircuitID]])</f>
        <v>2</v>
      </c>
      <c r="L8" s="1">
        <f>SUMIFS(I:I,J:J,BOMCheck[[#This Row],[CitcuitNumber]],H:H,7)</f>
        <v>9</v>
      </c>
      <c r="M8" s="1">
        <f>SUMIFS(I:I,J:J,BOMCheck[[#This Row],[CitcuitNumber]],G:G,"IEK-25-04")</f>
        <v>0</v>
      </c>
      <c r="N8" s="1" t="str" cm="1">
        <f t="array" ref="N8">_xlfn.TEXTJOIN(", ",TRUE,_xlfn.UNIQUE(IF(BOMCheck[[#This Row],[CitcuitNumber]]=J:J,K:K,"")))</f>
        <v>1, 2, 3, 4, 5, 6, 7, 8, 9</v>
      </c>
    </row>
    <row r="9" spans="1:14" x14ac:dyDescent="0.25">
      <c r="A9">
        <v>410</v>
      </c>
      <c r="B9">
        <v>0</v>
      </c>
      <c r="C9">
        <v>0</v>
      </c>
      <c r="D9" s="1" t="s">
        <v>62</v>
      </c>
      <c r="E9" s="1" t="s">
        <v>63</v>
      </c>
      <c r="F9" t="s">
        <v>15</v>
      </c>
      <c r="G9" s="1" t="s">
        <v>164</v>
      </c>
      <c r="H9">
        <v>1</v>
      </c>
      <c r="I9">
        <v>119.75</v>
      </c>
      <c r="J9" t="s">
        <v>160</v>
      </c>
      <c r="K9" t="str">
        <f>RIGHT(BOMCheck[[#This Row],[CircuitID]])</f>
        <v>2</v>
      </c>
      <c r="L9" s="1">
        <f>SUMIFS(I:I,J:J,BOMCheck[[#This Row],[CitcuitNumber]],H:H,7)</f>
        <v>9</v>
      </c>
      <c r="M9" s="1">
        <f>SUMIFS(I:I,J:J,BOMCheck[[#This Row],[CitcuitNumber]],G:G,"IEK-25-04")</f>
        <v>0</v>
      </c>
      <c r="N9" s="1" t="str" cm="1">
        <f t="array" ref="N9">_xlfn.TEXTJOIN(", ",TRUE,_xlfn.UNIQUE(IF(BOMCheck[[#This Row],[CitcuitNumber]]=J:J,K:K,"")))</f>
        <v>1, 2, 3, 4, 5, 6, 7, 8, 9</v>
      </c>
    </row>
    <row r="10" spans="1:14" x14ac:dyDescent="0.25">
      <c r="A10">
        <v>410</v>
      </c>
      <c r="B10">
        <v>0</v>
      </c>
      <c r="C10">
        <v>0</v>
      </c>
      <c r="D10" s="1" t="s">
        <v>62</v>
      </c>
      <c r="E10" s="1" t="s">
        <v>63</v>
      </c>
      <c r="F10" t="s">
        <v>15</v>
      </c>
      <c r="G10" s="1" t="s">
        <v>44</v>
      </c>
      <c r="H10">
        <v>11</v>
      </c>
      <c r="I10">
        <v>6.4</v>
      </c>
      <c r="J10" t="s">
        <v>160</v>
      </c>
      <c r="K10" t="str">
        <f>RIGHT(BOMCheck[[#This Row],[CircuitID]])</f>
        <v>2</v>
      </c>
      <c r="L10" s="1">
        <f>SUMIFS(I:I,J:J,BOMCheck[[#This Row],[CitcuitNumber]],H:H,7)</f>
        <v>9</v>
      </c>
      <c r="M10" s="1">
        <f>SUMIFS(I:I,J:J,BOMCheck[[#This Row],[CitcuitNumber]],G:G,"IEK-25-04")</f>
        <v>0</v>
      </c>
      <c r="N10" s="1" t="str" cm="1">
        <f t="array" ref="N10">_xlfn.TEXTJOIN(", ",TRUE,_xlfn.UNIQUE(IF(BOMCheck[[#This Row],[CitcuitNumber]]=J:J,K:K,"")))</f>
        <v>1, 2, 3, 4, 5, 6, 7, 8, 9</v>
      </c>
    </row>
    <row r="11" spans="1:14" x14ac:dyDescent="0.25">
      <c r="A11">
        <v>410</v>
      </c>
      <c r="B11">
        <v>0</v>
      </c>
      <c r="C11">
        <v>0</v>
      </c>
      <c r="D11" s="1" t="s">
        <v>62</v>
      </c>
      <c r="E11" s="1" t="s">
        <v>63</v>
      </c>
      <c r="F11" t="s">
        <v>15</v>
      </c>
      <c r="G11" s="1" t="s">
        <v>43</v>
      </c>
      <c r="H11">
        <v>10</v>
      </c>
      <c r="I11">
        <v>1</v>
      </c>
      <c r="J11" t="s">
        <v>160</v>
      </c>
      <c r="K11" t="str">
        <f>RIGHT(BOMCheck[[#This Row],[CircuitID]])</f>
        <v>2</v>
      </c>
      <c r="L11" s="1">
        <f>SUMIFS(I:I,J:J,BOMCheck[[#This Row],[CitcuitNumber]],H:H,7)</f>
        <v>9</v>
      </c>
      <c r="M11" s="1">
        <f>SUMIFS(I:I,J:J,BOMCheck[[#This Row],[CitcuitNumber]],G:G,"IEK-25-04")</f>
        <v>0</v>
      </c>
      <c r="N11" s="1" t="str" cm="1">
        <f t="array" ref="N11">_xlfn.TEXTJOIN(", ",TRUE,_xlfn.UNIQUE(IF(BOMCheck[[#This Row],[CitcuitNumber]]=J:J,K:K,"")))</f>
        <v>1, 2, 3, 4, 5, 6, 7, 8, 9</v>
      </c>
    </row>
    <row r="12" spans="1:14" x14ac:dyDescent="0.25">
      <c r="A12">
        <v>410</v>
      </c>
      <c r="B12">
        <v>0</v>
      </c>
      <c r="C12">
        <v>0</v>
      </c>
      <c r="D12" s="1" t="s">
        <v>62</v>
      </c>
      <c r="E12" s="1" t="s">
        <v>63</v>
      </c>
      <c r="F12" t="s">
        <v>15</v>
      </c>
      <c r="G12" s="1" t="s">
        <v>161</v>
      </c>
      <c r="H12">
        <v>4</v>
      </c>
      <c r="I12">
        <v>1</v>
      </c>
      <c r="J12" t="s">
        <v>160</v>
      </c>
      <c r="K12" t="str">
        <f>RIGHT(BOMCheck[[#This Row],[CircuitID]])</f>
        <v>2</v>
      </c>
      <c r="L12" s="1">
        <f>SUMIFS(I:I,J:J,BOMCheck[[#This Row],[CitcuitNumber]],H:H,7)</f>
        <v>9</v>
      </c>
      <c r="M12" s="1">
        <f>SUMIFS(I:I,J:J,BOMCheck[[#This Row],[CitcuitNumber]],G:G,"IEK-25-04")</f>
        <v>0</v>
      </c>
      <c r="N12" s="1" t="str" cm="1">
        <f t="array" ref="N12">_xlfn.TEXTJOIN(", ",TRUE,_xlfn.UNIQUE(IF(BOMCheck[[#This Row],[CitcuitNumber]]=J:J,K:K,"")))</f>
        <v>1, 2, 3, 4, 5, 6, 7, 8, 9</v>
      </c>
    </row>
    <row r="13" spans="1:14" x14ac:dyDescent="0.25">
      <c r="A13">
        <v>410</v>
      </c>
      <c r="B13">
        <v>0</v>
      </c>
      <c r="C13">
        <v>0</v>
      </c>
      <c r="D13" s="1" t="s">
        <v>62</v>
      </c>
      <c r="E13" s="1" t="s">
        <v>63</v>
      </c>
      <c r="F13" t="s">
        <v>15</v>
      </c>
      <c r="G13" s="1" t="s">
        <v>163</v>
      </c>
      <c r="H13">
        <v>13</v>
      </c>
      <c r="I13">
        <v>10</v>
      </c>
      <c r="J13" t="s">
        <v>160</v>
      </c>
      <c r="K13" t="str">
        <f>RIGHT(BOMCheck[[#This Row],[CircuitID]])</f>
        <v>2</v>
      </c>
      <c r="L13" s="1">
        <f>SUMIFS(I:I,J:J,BOMCheck[[#This Row],[CitcuitNumber]],H:H,7)</f>
        <v>9</v>
      </c>
      <c r="M13" s="1">
        <f>SUMIFS(I:I,J:J,BOMCheck[[#This Row],[CitcuitNumber]],G:G,"IEK-25-04")</f>
        <v>0</v>
      </c>
      <c r="N13" s="1" t="str" cm="1">
        <f t="array" ref="N13">_xlfn.TEXTJOIN(", ",TRUE,_xlfn.UNIQUE(IF(BOMCheck[[#This Row],[CitcuitNumber]]=J:J,K:K,"")))</f>
        <v>1, 2, 3, 4, 5, 6, 7, 8, 9</v>
      </c>
    </row>
    <row r="14" spans="1:14" x14ac:dyDescent="0.25">
      <c r="A14">
        <v>411</v>
      </c>
      <c r="B14">
        <v>0</v>
      </c>
      <c r="C14">
        <v>0</v>
      </c>
      <c r="D14" s="1" t="s">
        <v>64</v>
      </c>
      <c r="E14" s="1" t="s">
        <v>65</v>
      </c>
      <c r="F14" t="s">
        <v>15</v>
      </c>
      <c r="G14" s="1" t="s">
        <v>163</v>
      </c>
      <c r="H14">
        <v>13</v>
      </c>
      <c r="I14">
        <v>50</v>
      </c>
      <c r="J14" t="s">
        <v>160</v>
      </c>
      <c r="K14" t="str">
        <f>RIGHT(BOMCheck[[#This Row],[CircuitID]])</f>
        <v>3</v>
      </c>
      <c r="L14" s="1">
        <f>SUMIFS(I:I,J:J,BOMCheck[[#This Row],[CitcuitNumber]],H:H,7)</f>
        <v>9</v>
      </c>
      <c r="M14" s="1">
        <f>SUMIFS(I:I,J:J,BOMCheck[[#This Row],[CitcuitNumber]],G:G,"IEK-25-04")</f>
        <v>0</v>
      </c>
      <c r="N14" s="1" t="str" cm="1">
        <f t="array" ref="N14">_xlfn.TEXTJOIN(", ",TRUE,_xlfn.UNIQUE(IF(BOMCheck[[#This Row],[CitcuitNumber]]=J:J,K:K,"")))</f>
        <v>1, 2, 3, 4, 5, 6, 7, 8, 9</v>
      </c>
    </row>
    <row r="15" spans="1:14" x14ac:dyDescent="0.25">
      <c r="A15">
        <v>411</v>
      </c>
      <c r="B15">
        <v>0</v>
      </c>
      <c r="C15">
        <v>0</v>
      </c>
      <c r="D15" s="1" t="s">
        <v>64</v>
      </c>
      <c r="E15" s="1" t="s">
        <v>65</v>
      </c>
      <c r="F15" t="s">
        <v>15</v>
      </c>
      <c r="G15" s="1" t="s">
        <v>161</v>
      </c>
      <c r="H15">
        <v>4</v>
      </c>
      <c r="I15">
        <v>1</v>
      </c>
      <c r="J15" t="s">
        <v>160</v>
      </c>
      <c r="K15" t="str">
        <f>RIGHT(BOMCheck[[#This Row],[CircuitID]])</f>
        <v>3</v>
      </c>
      <c r="L15" s="1">
        <f>SUMIFS(I:I,J:J,BOMCheck[[#This Row],[CitcuitNumber]],H:H,7)</f>
        <v>9</v>
      </c>
      <c r="M15" s="1">
        <f>SUMIFS(I:I,J:J,BOMCheck[[#This Row],[CitcuitNumber]],G:G,"IEK-25-04")</f>
        <v>0</v>
      </c>
      <c r="N15" s="1" t="str" cm="1">
        <f t="array" ref="N15">_xlfn.TEXTJOIN(", ",TRUE,_xlfn.UNIQUE(IF(BOMCheck[[#This Row],[CitcuitNumber]]=J:J,K:K,"")))</f>
        <v>1, 2, 3, 4, 5, 6, 7, 8, 9</v>
      </c>
    </row>
    <row r="16" spans="1:14" x14ac:dyDescent="0.25">
      <c r="A16">
        <v>411</v>
      </c>
      <c r="B16">
        <v>0</v>
      </c>
      <c r="C16">
        <v>0</v>
      </c>
      <c r="D16" s="1" t="s">
        <v>64</v>
      </c>
      <c r="E16" s="1" t="s">
        <v>65</v>
      </c>
      <c r="F16" t="s">
        <v>15</v>
      </c>
      <c r="G16" s="1" t="s">
        <v>43</v>
      </c>
      <c r="H16">
        <v>10</v>
      </c>
      <c r="I16">
        <v>1</v>
      </c>
      <c r="J16" t="s">
        <v>160</v>
      </c>
      <c r="K16" t="str">
        <f>RIGHT(BOMCheck[[#This Row],[CircuitID]])</f>
        <v>3</v>
      </c>
      <c r="L16" s="1">
        <f>SUMIFS(I:I,J:J,BOMCheck[[#This Row],[CitcuitNumber]],H:H,7)</f>
        <v>9</v>
      </c>
      <c r="M16" s="1">
        <f>SUMIFS(I:I,J:J,BOMCheck[[#This Row],[CitcuitNumber]],G:G,"IEK-25-04")</f>
        <v>0</v>
      </c>
      <c r="N16" s="1" t="str" cm="1">
        <f t="array" ref="N16">_xlfn.TEXTJOIN(", ",TRUE,_xlfn.UNIQUE(IF(BOMCheck[[#This Row],[CitcuitNumber]]=J:J,K:K,"")))</f>
        <v>1, 2, 3, 4, 5, 6, 7, 8, 9</v>
      </c>
    </row>
    <row r="17" spans="1:14" x14ac:dyDescent="0.25">
      <c r="A17">
        <v>411</v>
      </c>
      <c r="B17">
        <v>0</v>
      </c>
      <c r="C17">
        <v>0</v>
      </c>
      <c r="D17" s="1" t="s">
        <v>64</v>
      </c>
      <c r="E17" s="1" t="s">
        <v>65</v>
      </c>
      <c r="F17" t="s">
        <v>15</v>
      </c>
      <c r="G17" s="1" t="s">
        <v>164</v>
      </c>
      <c r="H17">
        <v>1</v>
      </c>
      <c r="I17">
        <v>586.29</v>
      </c>
      <c r="J17" t="s">
        <v>160</v>
      </c>
      <c r="K17" t="str">
        <f>RIGHT(BOMCheck[[#This Row],[CircuitID]])</f>
        <v>3</v>
      </c>
      <c r="L17" s="1">
        <f>SUMIFS(I:I,J:J,BOMCheck[[#This Row],[CitcuitNumber]],H:H,7)</f>
        <v>9</v>
      </c>
      <c r="M17" s="1">
        <f>SUMIFS(I:I,J:J,BOMCheck[[#This Row],[CitcuitNumber]],G:G,"IEK-25-04")</f>
        <v>0</v>
      </c>
      <c r="N17" s="1" t="str" cm="1">
        <f t="array" ref="N17">_xlfn.TEXTJOIN(", ",TRUE,_xlfn.UNIQUE(IF(BOMCheck[[#This Row],[CitcuitNumber]]=J:J,K:K,"")))</f>
        <v>1, 2, 3, 4, 5, 6, 7, 8, 9</v>
      </c>
    </row>
    <row r="18" spans="1:14" x14ac:dyDescent="0.25">
      <c r="A18">
        <v>411</v>
      </c>
      <c r="B18">
        <v>0</v>
      </c>
      <c r="C18">
        <v>0</v>
      </c>
      <c r="D18" s="1" t="s">
        <v>64</v>
      </c>
      <c r="E18" s="1" t="s">
        <v>65</v>
      </c>
      <c r="F18" t="s">
        <v>15</v>
      </c>
      <c r="G18" s="1" t="s">
        <v>44</v>
      </c>
      <c r="H18">
        <v>11</v>
      </c>
      <c r="I18">
        <v>32.1</v>
      </c>
      <c r="J18" t="s">
        <v>160</v>
      </c>
      <c r="K18" t="str">
        <f>RIGHT(BOMCheck[[#This Row],[CircuitID]])</f>
        <v>3</v>
      </c>
      <c r="L18" s="1">
        <f>SUMIFS(I:I,J:J,BOMCheck[[#This Row],[CitcuitNumber]],H:H,7)</f>
        <v>9</v>
      </c>
      <c r="M18" s="1">
        <f>SUMIFS(I:I,J:J,BOMCheck[[#This Row],[CitcuitNumber]],G:G,"IEK-25-04")</f>
        <v>0</v>
      </c>
      <c r="N18" s="1" t="str" cm="1">
        <f t="array" ref="N18">_xlfn.TEXTJOIN(", ",TRUE,_xlfn.UNIQUE(IF(BOMCheck[[#This Row],[CitcuitNumber]]=J:J,K:K,"")))</f>
        <v>1, 2, 3, 4, 5, 6, 7, 8, 9</v>
      </c>
    </row>
    <row r="19" spans="1:14" x14ac:dyDescent="0.25">
      <c r="A19">
        <v>411</v>
      </c>
      <c r="B19">
        <v>0</v>
      </c>
      <c r="C19">
        <v>0</v>
      </c>
      <c r="D19" s="1" t="s">
        <v>64</v>
      </c>
      <c r="E19" s="1" t="s">
        <v>65</v>
      </c>
      <c r="F19" t="s">
        <v>15</v>
      </c>
      <c r="G19" s="1" t="s">
        <v>162</v>
      </c>
      <c r="H19">
        <v>7</v>
      </c>
      <c r="I19">
        <v>1</v>
      </c>
      <c r="J19" t="s">
        <v>160</v>
      </c>
      <c r="K19" t="str">
        <f>RIGHT(BOMCheck[[#This Row],[CircuitID]])</f>
        <v>3</v>
      </c>
      <c r="L19" s="1">
        <f>SUMIFS(I:I,J:J,BOMCheck[[#This Row],[CitcuitNumber]],H:H,7)</f>
        <v>9</v>
      </c>
      <c r="M19" s="1">
        <f>SUMIFS(I:I,J:J,BOMCheck[[#This Row],[CitcuitNumber]],G:G,"IEK-25-04")</f>
        <v>0</v>
      </c>
      <c r="N19" s="1" t="str" cm="1">
        <f t="array" ref="N19">_xlfn.TEXTJOIN(", ",TRUE,_xlfn.UNIQUE(IF(BOMCheck[[#This Row],[CitcuitNumber]]=J:J,K:K,"")))</f>
        <v>1, 2, 3, 4, 5, 6, 7, 8, 9</v>
      </c>
    </row>
    <row r="20" spans="1:14" x14ac:dyDescent="0.25">
      <c r="A20">
        <v>412</v>
      </c>
      <c r="B20">
        <v>0</v>
      </c>
      <c r="C20">
        <v>0</v>
      </c>
      <c r="D20" s="1" t="s">
        <v>66</v>
      </c>
      <c r="E20" s="1" t="s">
        <v>67</v>
      </c>
      <c r="F20" t="s">
        <v>15</v>
      </c>
      <c r="G20" s="1" t="s">
        <v>163</v>
      </c>
      <c r="H20">
        <v>13</v>
      </c>
      <c r="I20">
        <v>3</v>
      </c>
      <c r="J20" t="s">
        <v>160</v>
      </c>
      <c r="K20" t="str">
        <f>RIGHT(BOMCheck[[#This Row],[CircuitID]])</f>
        <v>4</v>
      </c>
      <c r="L20" s="1">
        <f>SUMIFS(I:I,J:J,BOMCheck[[#This Row],[CitcuitNumber]],H:H,7)</f>
        <v>9</v>
      </c>
      <c r="M20" s="1">
        <f>SUMIFS(I:I,J:J,BOMCheck[[#This Row],[CitcuitNumber]],G:G,"IEK-25-04")</f>
        <v>0</v>
      </c>
      <c r="N20" s="1" t="str" cm="1">
        <f t="array" ref="N20">_xlfn.TEXTJOIN(", ",TRUE,_xlfn.UNIQUE(IF(BOMCheck[[#This Row],[CitcuitNumber]]=J:J,K:K,"")))</f>
        <v>1, 2, 3, 4, 5, 6, 7, 8, 9</v>
      </c>
    </row>
    <row r="21" spans="1:14" x14ac:dyDescent="0.25">
      <c r="A21">
        <v>412</v>
      </c>
      <c r="B21">
        <v>0</v>
      </c>
      <c r="C21">
        <v>0</v>
      </c>
      <c r="D21" s="1" t="s">
        <v>66</v>
      </c>
      <c r="E21" s="1" t="s">
        <v>67</v>
      </c>
      <c r="F21" t="s">
        <v>15</v>
      </c>
      <c r="G21" s="1" t="s">
        <v>45</v>
      </c>
      <c r="H21">
        <v>10</v>
      </c>
      <c r="I21">
        <v>1</v>
      </c>
      <c r="J21" t="s">
        <v>160</v>
      </c>
      <c r="K21" t="str">
        <f>RIGHT(BOMCheck[[#This Row],[CircuitID]])</f>
        <v>4</v>
      </c>
      <c r="L21" s="1">
        <f>SUMIFS(I:I,J:J,BOMCheck[[#This Row],[CitcuitNumber]],H:H,7)</f>
        <v>9</v>
      </c>
      <c r="M21" s="1">
        <f>SUMIFS(I:I,J:J,BOMCheck[[#This Row],[CitcuitNumber]],G:G,"IEK-25-04")</f>
        <v>0</v>
      </c>
      <c r="N21" s="1" t="str" cm="1">
        <f t="array" ref="N21">_xlfn.TEXTJOIN(", ",TRUE,_xlfn.UNIQUE(IF(BOMCheck[[#This Row],[CitcuitNumber]]=J:J,K:K,"")))</f>
        <v>1, 2, 3, 4, 5, 6, 7, 8, 9</v>
      </c>
    </row>
    <row r="22" spans="1:14" x14ac:dyDescent="0.25">
      <c r="A22">
        <v>412</v>
      </c>
      <c r="B22">
        <v>0</v>
      </c>
      <c r="C22">
        <v>0</v>
      </c>
      <c r="D22" s="1" t="s">
        <v>66</v>
      </c>
      <c r="E22" s="1" t="s">
        <v>67</v>
      </c>
      <c r="F22" t="s">
        <v>15</v>
      </c>
      <c r="G22" s="1" t="s">
        <v>162</v>
      </c>
      <c r="H22">
        <v>7</v>
      </c>
      <c r="I22">
        <v>1</v>
      </c>
      <c r="J22" t="s">
        <v>160</v>
      </c>
      <c r="K22" t="str">
        <f>RIGHT(BOMCheck[[#This Row],[CircuitID]])</f>
        <v>4</v>
      </c>
      <c r="L22" s="1">
        <f>SUMIFS(I:I,J:J,BOMCheck[[#This Row],[CitcuitNumber]],H:H,7)</f>
        <v>9</v>
      </c>
      <c r="M22" s="1">
        <f>SUMIFS(I:I,J:J,BOMCheck[[#This Row],[CitcuitNumber]],G:G,"IEK-25-04")</f>
        <v>0</v>
      </c>
      <c r="N22" s="1" t="str" cm="1">
        <f t="array" ref="N22">_xlfn.TEXTJOIN(", ",TRUE,_xlfn.UNIQUE(IF(BOMCheck[[#This Row],[CitcuitNumber]]=J:J,K:K,"")))</f>
        <v>1, 2, 3, 4, 5, 6, 7, 8, 9</v>
      </c>
    </row>
    <row r="23" spans="1:14" x14ac:dyDescent="0.25">
      <c r="A23">
        <v>412</v>
      </c>
      <c r="B23">
        <v>0</v>
      </c>
      <c r="C23">
        <v>0</v>
      </c>
      <c r="D23" s="1" t="s">
        <v>66</v>
      </c>
      <c r="E23" s="1" t="s">
        <v>67</v>
      </c>
      <c r="F23" t="s">
        <v>15</v>
      </c>
      <c r="G23" s="1" t="s">
        <v>44</v>
      </c>
      <c r="H23">
        <v>11</v>
      </c>
      <c r="I23">
        <v>0.6</v>
      </c>
      <c r="J23" t="s">
        <v>160</v>
      </c>
      <c r="K23" t="str">
        <f>RIGHT(BOMCheck[[#This Row],[CircuitID]])</f>
        <v>4</v>
      </c>
      <c r="L23" s="1">
        <f>SUMIFS(I:I,J:J,BOMCheck[[#This Row],[CitcuitNumber]],H:H,7)</f>
        <v>9</v>
      </c>
      <c r="M23" s="1">
        <f>SUMIFS(I:I,J:J,BOMCheck[[#This Row],[CitcuitNumber]],G:G,"IEK-25-04")</f>
        <v>0</v>
      </c>
      <c r="N23" s="1" t="str" cm="1">
        <f t="array" ref="N23">_xlfn.TEXTJOIN(", ",TRUE,_xlfn.UNIQUE(IF(BOMCheck[[#This Row],[CitcuitNumber]]=J:J,K:K,"")))</f>
        <v>1, 2, 3, 4, 5, 6, 7, 8, 9</v>
      </c>
    </row>
    <row r="24" spans="1:14" x14ac:dyDescent="0.25">
      <c r="A24">
        <v>412</v>
      </c>
      <c r="B24">
        <v>0</v>
      </c>
      <c r="C24">
        <v>0</v>
      </c>
      <c r="D24" s="1" t="s">
        <v>66</v>
      </c>
      <c r="E24" s="1" t="s">
        <v>67</v>
      </c>
      <c r="F24" t="s">
        <v>15</v>
      </c>
      <c r="G24" s="1" t="s">
        <v>161</v>
      </c>
      <c r="H24">
        <v>4</v>
      </c>
      <c r="I24">
        <v>1</v>
      </c>
      <c r="J24" t="s">
        <v>160</v>
      </c>
      <c r="K24" t="str">
        <f>RIGHT(BOMCheck[[#This Row],[CircuitID]])</f>
        <v>4</v>
      </c>
      <c r="L24" s="1">
        <f>SUMIFS(I:I,J:J,BOMCheck[[#This Row],[CitcuitNumber]],H:H,7)</f>
        <v>9</v>
      </c>
      <c r="M24" s="1">
        <f>SUMIFS(I:I,J:J,BOMCheck[[#This Row],[CitcuitNumber]],G:G,"IEK-25-04")</f>
        <v>0</v>
      </c>
      <c r="N24" s="1" t="str" cm="1">
        <f t="array" ref="N24">_xlfn.TEXTJOIN(", ",TRUE,_xlfn.UNIQUE(IF(BOMCheck[[#This Row],[CitcuitNumber]]=J:J,K:K,"")))</f>
        <v>1, 2, 3, 4, 5, 6, 7, 8, 9</v>
      </c>
    </row>
    <row r="25" spans="1:14" x14ac:dyDescent="0.25">
      <c r="A25">
        <v>412</v>
      </c>
      <c r="B25">
        <v>0</v>
      </c>
      <c r="C25">
        <v>0</v>
      </c>
      <c r="D25" s="1" t="s">
        <v>66</v>
      </c>
      <c r="E25" s="1" t="s">
        <v>67</v>
      </c>
      <c r="F25" t="s">
        <v>15</v>
      </c>
      <c r="G25" s="1" t="s">
        <v>164</v>
      </c>
      <c r="H25">
        <v>1</v>
      </c>
      <c r="I25">
        <v>40.68</v>
      </c>
      <c r="J25" t="s">
        <v>160</v>
      </c>
      <c r="K25" t="str">
        <f>RIGHT(BOMCheck[[#This Row],[CircuitID]])</f>
        <v>4</v>
      </c>
      <c r="L25" s="1">
        <f>SUMIFS(I:I,J:J,BOMCheck[[#This Row],[CitcuitNumber]],H:H,7)</f>
        <v>9</v>
      </c>
      <c r="M25" s="1">
        <f>SUMIFS(I:I,J:J,BOMCheck[[#This Row],[CitcuitNumber]],G:G,"IEK-25-04")</f>
        <v>0</v>
      </c>
      <c r="N25" s="1" t="str" cm="1">
        <f t="array" ref="N25">_xlfn.TEXTJOIN(", ",TRUE,_xlfn.UNIQUE(IF(BOMCheck[[#This Row],[CitcuitNumber]]=J:J,K:K,"")))</f>
        <v>1, 2, 3, 4, 5, 6, 7, 8, 9</v>
      </c>
    </row>
    <row r="26" spans="1:14" x14ac:dyDescent="0.25">
      <c r="A26">
        <v>413</v>
      </c>
      <c r="B26">
        <v>0</v>
      </c>
      <c r="C26">
        <v>0</v>
      </c>
      <c r="D26" s="1" t="s">
        <v>68</v>
      </c>
      <c r="E26" s="1" t="s">
        <v>69</v>
      </c>
      <c r="F26" t="s">
        <v>15</v>
      </c>
      <c r="G26" s="1" t="s">
        <v>164</v>
      </c>
      <c r="H26">
        <v>1</v>
      </c>
      <c r="I26">
        <v>40.68</v>
      </c>
      <c r="J26" t="s">
        <v>160</v>
      </c>
      <c r="K26" t="str">
        <f>RIGHT(BOMCheck[[#This Row],[CircuitID]])</f>
        <v>5</v>
      </c>
      <c r="L26" s="1">
        <f>SUMIFS(I:I,J:J,BOMCheck[[#This Row],[CitcuitNumber]],H:H,7)</f>
        <v>9</v>
      </c>
      <c r="M26" s="1">
        <f>SUMIFS(I:I,J:J,BOMCheck[[#This Row],[CitcuitNumber]],G:G,"IEK-25-04")</f>
        <v>0</v>
      </c>
      <c r="N26" s="1" t="str" cm="1">
        <f t="array" ref="N26">_xlfn.TEXTJOIN(", ",TRUE,_xlfn.UNIQUE(IF(BOMCheck[[#This Row],[CitcuitNumber]]=J:J,K:K,"")))</f>
        <v>1, 2, 3, 4, 5, 6, 7, 8, 9</v>
      </c>
    </row>
    <row r="27" spans="1:14" x14ac:dyDescent="0.25">
      <c r="A27">
        <v>413</v>
      </c>
      <c r="B27">
        <v>0</v>
      </c>
      <c r="C27">
        <v>0</v>
      </c>
      <c r="D27" s="1" t="s">
        <v>68</v>
      </c>
      <c r="E27" s="1" t="s">
        <v>69</v>
      </c>
      <c r="F27" t="s">
        <v>15</v>
      </c>
      <c r="G27" s="1" t="s">
        <v>44</v>
      </c>
      <c r="H27">
        <v>11</v>
      </c>
      <c r="I27">
        <v>0.6</v>
      </c>
      <c r="J27" t="s">
        <v>160</v>
      </c>
      <c r="K27" t="str">
        <f>RIGHT(BOMCheck[[#This Row],[CircuitID]])</f>
        <v>5</v>
      </c>
      <c r="L27" s="1">
        <f>SUMIFS(I:I,J:J,BOMCheck[[#This Row],[CitcuitNumber]],H:H,7)</f>
        <v>9</v>
      </c>
      <c r="M27" s="1">
        <f>SUMIFS(I:I,J:J,BOMCheck[[#This Row],[CitcuitNumber]],G:G,"IEK-25-04")</f>
        <v>0</v>
      </c>
      <c r="N27" s="1" t="str" cm="1">
        <f t="array" ref="N27">_xlfn.TEXTJOIN(", ",TRUE,_xlfn.UNIQUE(IF(BOMCheck[[#This Row],[CitcuitNumber]]=J:J,K:K,"")))</f>
        <v>1, 2, 3, 4, 5, 6, 7, 8, 9</v>
      </c>
    </row>
    <row r="28" spans="1:14" x14ac:dyDescent="0.25">
      <c r="A28">
        <v>413</v>
      </c>
      <c r="B28">
        <v>0</v>
      </c>
      <c r="C28">
        <v>0</v>
      </c>
      <c r="D28" s="1" t="s">
        <v>68</v>
      </c>
      <c r="E28" s="1" t="s">
        <v>69</v>
      </c>
      <c r="F28" t="s">
        <v>15</v>
      </c>
      <c r="G28" s="1" t="s">
        <v>162</v>
      </c>
      <c r="H28">
        <v>7</v>
      </c>
      <c r="I28">
        <v>1</v>
      </c>
      <c r="J28" t="s">
        <v>160</v>
      </c>
      <c r="K28" t="str">
        <f>RIGHT(BOMCheck[[#This Row],[CircuitID]])</f>
        <v>5</v>
      </c>
      <c r="L28" s="1">
        <f>SUMIFS(I:I,J:J,BOMCheck[[#This Row],[CitcuitNumber]],H:H,7)</f>
        <v>9</v>
      </c>
      <c r="M28" s="1">
        <f>SUMIFS(I:I,J:J,BOMCheck[[#This Row],[CitcuitNumber]],G:G,"IEK-25-04")</f>
        <v>0</v>
      </c>
      <c r="N28" s="1" t="str" cm="1">
        <f t="array" ref="N28">_xlfn.TEXTJOIN(", ",TRUE,_xlfn.UNIQUE(IF(BOMCheck[[#This Row],[CitcuitNumber]]=J:J,K:K,"")))</f>
        <v>1, 2, 3, 4, 5, 6, 7, 8, 9</v>
      </c>
    </row>
    <row r="29" spans="1:14" x14ac:dyDescent="0.25">
      <c r="A29">
        <v>413</v>
      </c>
      <c r="B29">
        <v>0</v>
      </c>
      <c r="C29">
        <v>0</v>
      </c>
      <c r="D29" s="1" t="s">
        <v>68</v>
      </c>
      <c r="E29" s="1" t="s">
        <v>69</v>
      </c>
      <c r="F29" t="s">
        <v>15</v>
      </c>
      <c r="G29" s="1" t="s">
        <v>163</v>
      </c>
      <c r="H29">
        <v>13</v>
      </c>
      <c r="I29">
        <v>3</v>
      </c>
      <c r="J29" t="s">
        <v>160</v>
      </c>
      <c r="K29" t="str">
        <f>RIGHT(BOMCheck[[#This Row],[CircuitID]])</f>
        <v>5</v>
      </c>
      <c r="L29" s="1">
        <f>SUMIFS(I:I,J:J,BOMCheck[[#This Row],[CitcuitNumber]],H:H,7)</f>
        <v>9</v>
      </c>
      <c r="M29" s="1">
        <f>SUMIFS(I:I,J:J,BOMCheck[[#This Row],[CitcuitNumber]],G:G,"IEK-25-04")</f>
        <v>0</v>
      </c>
      <c r="N29" s="1" t="str" cm="1">
        <f t="array" ref="N29">_xlfn.TEXTJOIN(", ",TRUE,_xlfn.UNIQUE(IF(BOMCheck[[#This Row],[CitcuitNumber]]=J:J,K:K,"")))</f>
        <v>1, 2, 3, 4, 5, 6, 7, 8, 9</v>
      </c>
    </row>
    <row r="30" spans="1:14" x14ac:dyDescent="0.25">
      <c r="A30">
        <v>413</v>
      </c>
      <c r="B30">
        <v>0</v>
      </c>
      <c r="C30">
        <v>0</v>
      </c>
      <c r="D30" s="1" t="s">
        <v>68</v>
      </c>
      <c r="E30" s="1" t="s">
        <v>69</v>
      </c>
      <c r="F30" t="s">
        <v>15</v>
      </c>
      <c r="G30" s="1" t="s">
        <v>161</v>
      </c>
      <c r="H30">
        <v>4</v>
      </c>
      <c r="I30">
        <v>1</v>
      </c>
      <c r="J30" t="s">
        <v>160</v>
      </c>
      <c r="K30" t="str">
        <f>RIGHT(BOMCheck[[#This Row],[CircuitID]])</f>
        <v>5</v>
      </c>
      <c r="L30" s="1">
        <f>SUMIFS(I:I,J:J,BOMCheck[[#This Row],[CitcuitNumber]],H:H,7)</f>
        <v>9</v>
      </c>
      <c r="M30" s="1">
        <f>SUMIFS(I:I,J:J,BOMCheck[[#This Row],[CitcuitNumber]],G:G,"IEK-25-04")</f>
        <v>0</v>
      </c>
      <c r="N30" s="1" t="str" cm="1">
        <f t="array" ref="N30">_xlfn.TEXTJOIN(", ",TRUE,_xlfn.UNIQUE(IF(BOMCheck[[#This Row],[CitcuitNumber]]=J:J,K:K,"")))</f>
        <v>1, 2, 3, 4, 5, 6, 7, 8, 9</v>
      </c>
    </row>
    <row r="31" spans="1:14" x14ac:dyDescent="0.25">
      <c r="A31">
        <v>413</v>
      </c>
      <c r="B31">
        <v>0</v>
      </c>
      <c r="C31">
        <v>0</v>
      </c>
      <c r="D31" s="1" t="s">
        <v>68</v>
      </c>
      <c r="E31" s="1" t="s">
        <v>69</v>
      </c>
      <c r="F31" t="s">
        <v>15</v>
      </c>
      <c r="G31" s="1" t="s">
        <v>45</v>
      </c>
      <c r="H31">
        <v>10</v>
      </c>
      <c r="I31">
        <v>1</v>
      </c>
      <c r="J31" t="s">
        <v>160</v>
      </c>
      <c r="K31" t="str">
        <f>RIGHT(BOMCheck[[#This Row],[CircuitID]])</f>
        <v>5</v>
      </c>
      <c r="L31" s="1">
        <f>SUMIFS(I:I,J:J,BOMCheck[[#This Row],[CitcuitNumber]],H:H,7)</f>
        <v>9</v>
      </c>
      <c r="M31" s="1">
        <f>SUMIFS(I:I,J:J,BOMCheck[[#This Row],[CitcuitNumber]],G:G,"IEK-25-04")</f>
        <v>0</v>
      </c>
      <c r="N31" s="1" t="str" cm="1">
        <f t="array" ref="N31">_xlfn.TEXTJOIN(", ",TRUE,_xlfn.UNIQUE(IF(BOMCheck[[#This Row],[CitcuitNumber]]=J:J,K:K,"")))</f>
        <v>1, 2, 3, 4, 5, 6, 7, 8, 9</v>
      </c>
    </row>
    <row r="32" spans="1:14" x14ac:dyDescent="0.25">
      <c r="A32">
        <v>414</v>
      </c>
      <c r="B32">
        <v>0</v>
      </c>
      <c r="C32">
        <v>0</v>
      </c>
      <c r="D32" s="1" t="s">
        <v>70</v>
      </c>
      <c r="E32" s="1" t="s">
        <v>71</v>
      </c>
      <c r="F32" t="s">
        <v>15</v>
      </c>
      <c r="G32" s="1" t="s">
        <v>161</v>
      </c>
      <c r="H32">
        <v>4</v>
      </c>
      <c r="I32">
        <v>1</v>
      </c>
      <c r="J32" t="s">
        <v>160</v>
      </c>
      <c r="K32" t="str">
        <f>RIGHT(BOMCheck[[#This Row],[CircuitID]])</f>
        <v>6</v>
      </c>
      <c r="L32" s="1">
        <f>SUMIFS(I:I,J:J,BOMCheck[[#This Row],[CitcuitNumber]],H:H,7)</f>
        <v>9</v>
      </c>
      <c r="M32" s="1">
        <f>SUMIFS(I:I,J:J,BOMCheck[[#This Row],[CitcuitNumber]],G:G,"IEK-25-04")</f>
        <v>0</v>
      </c>
      <c r="N32" s="1" t="str" cm="1">
        <f t="array" ref="N32">_xlfn.TEXTJOIN(", ",TRUE,_xlfn.UNIQUE(IF(BOMCheck[[#This Row],[CitcuitNumber]]=J:J,K:K,"")))</f>
        <v>1, 2, 3, 4, 5, 6, 7, 8, 9</v>
      </c>
    </row>
    <row r="33" spans="1:14" x14ac:dyDescent="0.25">
      <c r="A33">
        <v>414</v>
      </c>
      <c r="B33">
        <v>0</v>
      </c>
      <c r="C33">
        <v>0</v>
      </c>
      <c r="D33" s="1" t="s">
        <v>70</v>
      </c>
      <c r="E33" s="1" t="s">
        <v>71</v>
      </c>
      <c r="F33" t="s">
        <v>15</v>
      </c>
      <c r="G33" s="1" t="s">
        <v>162</v>
      </c>
      <c r="H33">
        <v>7</v>
      </c>
      <c r="I33">
        <v>1</v>
      </c>
      <c r="J33" t="s">
        <v>160</v>
      </c>
      <c r="K33" t="str">
        <f>RIGHT(BOMCheck[[#This Row],[CircuitID]])</f>
        <v>6</v>
      </c>
      <c r="L33" s="1">
        <f>SUMIFS(I:I,J:J,BOMCheck[[#This Row],[CitcuitNumber]],H:H,7)</f>
        <v>9</v>
      </c>
      <c r="M33" s="1">
        <f>SUMIFS(I:I,J:J,BOMCheck[[#This Row],[CitcuitNumber]],G:G,"IEK-25-04")</f>
        <v>0</v>
      </c>
      <c r="N33" s="1" t="str" cm="1">
        <f t="array" ref="N33">_xlfn.TEXTJOIN(", ",TRUE,_xlfn.UNIQUE(IF(BOMCheck[[#This Row],[CitcuitNumber]]=J:J,K:K,"")))</f>
        <v>1, 2, 3, 4, 5, 6, 7, 8, 9</v>
      </c>
    </row>
    <row r="34" spans="1:14" x14ac:dyDescent="0.25">
      <c r="A34">
        <v>414</v>
      </c>
      <c r="B34">
        <v>0</v>
      </c>
      <c r="C34">
        <v>0</v>
      </c>
      <c r="D34" s="1" t="s">
        <v>70</v>
      </c>
      <c r="E34" s="1" t="s">
        <v>71</v>
      </c>
      <c r="F34" t="s">
        <v>15</v>
      </c>
      <c r="G34" s="1" t="s">
        <v>44</v>
      </c>
      <c r="H34">
        <v>11</v>
      </c>
      <c r="I34">
        <v>0.6</v>
      </c>
      <c r="J34" t="s">
        <v>160</v>
      </c>
      <c r="K34" t="str">
        <f>RIGHT(BOMCheck[[#This Row],[CircuitID]])</f>
        <v>6</v>
      </c>
      <c r="L34" s="1">
        <f>SUMIFS(I:I,J:J,BOMCheck[[#This Row],[CitcuitNumber]],H:H,7)</f>
        <v>9</v>
      </c>
      <c r="M34" s="1">
        <f>SUMIFS(I:I,J:J,BOMCheck[[#This Row],[CitcuitNumber]],G:G,"IEK-25-04")</f>
        <v>0</v>
      </c>
      <c r="N34" s="1" t="str" cm="1">
        <f t="array" ref="N34">_xlfn.TEXTJOIN(", ",TRUE,_xlfn.UNIQUE(IF(BOMCheck[[#This Row],[CitcuitNumber]]=J:J,K:K,"")))</f>
        <v>1, 2, 3, 4, 5, 6, 7, 8, 9</v>
      </c>
    </row>
    <row r="35" spans="1:14" x14ac:dyDescent="0.25">
      <c r="A35">
        <v>414</v>
      </c>
      <c r="B35">
        <v>0</v>
      </c>
      <c r="C35">
        <v>0</v>
      </c>
      <c r="D35" s="1" t="s">
        <v>70</v>
      </c>
      <c r="E35" s="1" t="s">
        <v>71</v>
      </c>
      <c r="F35" t="s">
        <v>15</v>
      </c>
      <c r="G35" s="1" t="s">
        <v>163</v>
      </c>
      <c r="H35">
        <v>13</v>
      </c>
      <c r="I35">
        <v>3</v>
      </c>
      <c r="J35" t="s">
        <v>160</v>
      </c>
      <c r="K35" t="str">
        <f>RIGHT(BOMCheck[[#This Row],[CircuitID]])</f>
        <v>6</v>
      </c>
      <c r="L35" s="1">
        <f>SUMIFS(I:I,J:J,BOMCheck[[#This Row],[CitcuitNumber]],H:H,7)</f>
        <v>9</v>
      </c>
      <c r="M35" s="1">
        <f>SUMIFS(I:I,J:J,BOMCheck[[#This Row],[CitcuitNumber]],G:G,"IEK-25-04")</f>
        <v>0</v>
      </c>
      <c r="N35" s="1" t="str" cm="1">
        <f t="array" ref="N35">_xlfn.TEXTJOIN(", ",TRUE,_xlfn.UNIQUE(IF(BOMCheck[[#This Row],[CitcuitNumber]]=J:J,K:K,"")))</f>
        <v>1, 2, 3, 4, 5, 6, 7, 8, 9</v>
      </c>
    </row>
    <row r="36" spans="1:14" x14ac:dyDescent="0.25">
      <c r="A36">
        <v>414</v>
      </c>
      <c r="B36">
        <v>0</v>
      </c>
      <c r="C36">
        <v>0</v>
      </c>
      <c r="D36" s="1" t="s">
        <v>70</v>
      </c>
      <c r="E36" s="1" t="s">
        <v>71</v>
      </c>
      <c r="F36" t="s">
        <v>15</v>
      </c>
      <c r="G36" s="1" t="s">
        <v>164</v>
      </c>
      <c r="H36">
        <v>1</v>
      </c>
      <c r="I36">
        <v>40.68</v>
      </c>
      <c r="J36" t="s">
        <v>160</v>
      </c>
      <c r="K36" t="str">
        <f>RIGHT(BOMCheck[[#This Row],[CircuitID]])</f>
        <v>6</v>
      </c>
      <c r="L36" s="1">
        <f>SUMIFS(I:I,J:J,BOMCheck[[#This Row],[CitcuitNumber]],H:H,7)</f>
        <v>9</v>
      </c>
      <c r="M36" s="1">
        <f>SUMIFS(I:I,J:J,BOMCheck[[#This Row],[CitcuitNumber]],G:G,"IEK-25-04")</f>
        <v>0</v>
      </c>
      <c r="N36" s="1" t="str" cm="1">
        <f t="array" ref="N36">_xlfn.TEXTJOIN(", ",TRUE,_xlfn.UNIQUE(IF(BOMCheck[[#This Row],[CitcuitNumber]]=J:J,K:K,"")))</f>
        <v>1, 2, 3, 4, 5, 6, 7, 8, 9</v>
      </c>
    </row>
    <row r="37" spans="1:14" x14ac:dyDescent="0.25">
      <c r="A37">
        <v>414</v>
      </c>
      <c r="B37">
        <v>0</v>
      </c>
      <c r="C37">
        <v>0</v>
      </c>
      <c r="D37" s="1" t="s">
        <v>70</v>
      </c>
      <c r="E37" s="1" t="s">
        <v>71</v>
      </c>
      <c r="F37" t="s">
        <v>15</v>
      </c>
      <c r="G37" s="1" t="s">
        <v>45</v>
      </c>
      <c r="H37">
        <v>10</v>
      </c>
      <c r="I37">
        <v>1</v>
      </c>
      <c r="J37" t="s">
        <v>160</v>
      </c>
      <c r="K37" t="str">
        <f>RIGHT(BOMCheck[[#This Row],[CircuitID]])</f>
        <v>6</v>
      </c>
      <c r="L37" s="1">
        <f>SUMIFS(I:I,J:J,BOMCheck[[#This Row],[CitcuitNumber]],H:H,7)</f>
        <v>9</v>
      </c>
      <c r="M37" s="1">
        <f>SUMIFS(I:I,J:J,BOMCheck[[#This Row],[CitcuitNumber]],G:G,"IEK-25-04")</f>
        <v>0</v>
      </c>
      <c r="N37" s="1" t="str" cm="1">
        <f t="array" ref="N37">_xlfn.TEXTJOIN(", ",TRUE,_xlfn.UNIQUE(IF(BOMCheck[[#This Row],[CitcuitNumber]]=J:J,K:K,"")))</f>
        <v>1, 2, 3, 4, 5, 6, 7, 8, 9</v>
      </c>
    </row>
    <row r="38" spans="1:14" x14ac:dyDescent="0.25">
      <c r="A38">
        <v>415</v>
      </c>
      <c r="B38">
        <v>0</v>
      </c>
      <c r="C38">
        <v>0</v>
      </c>
      <c r="D38" s="1" t="s">
        <v>72</v>
      </c>
      <c r="E38" s="1" t="s">
        <v>73</v>
      </c>
      <c r="F38" t="s">
        <v>15</v>
      </c>
      <c r="G38" s="1" t="s">
        <v>45</v>
      </c>
      <c r="H38">
        <v>10</v>
      </c>
      <c r="I38">
        <v>1</v>
      </c>
      <c r="J38" t="s">
        <v>160</v>
      </c>
      <c r="K38" t="str">
        <f>RIGHT(BOMCheck[[#This Row],[CircuitID]])</f>
        <v>7</v>
      </c>
      <c r="L38" s="1">
        <f>SUMIFS(I:I,J:J,BOMCheck[[#This Row],[CitcuitNumber]],H:H,7)</f>
        <v>9</v>
      </c>
      <c r="M38" s="1">
        <f>SUMIFS(I:I,J:J,BOMCheck[[#This Row],[CitcuitNumber]],G:G,"IEK-25-04")</f>
        <v>0</v>
      </c>
      <c r="N38" s="1" t="str" cm="1">
        <f t="array" ref="N38">_xlfn.TEXTJOIN(", ",TRUE,_xlfn.UNIQUE(IF(BOMCheck[[#This Row],[CitcuitNumber]]=J:J,K:K,"")))</f>
        <v>1, 2, 3, 4, 5, 6, 7, 8, 9</v>
      </c>
    </row>
    <row r="39" spans="1:14" x14ac:dyDescent="0.25">
      <c r="A39">
        <v>415</v>
      </c>
      <c r="B39">
        <v>0</v>
      </c>
      <c r="C39">
        <v>0</v>
      </c>
      <c r="D39" s="1" t="s">
        <v>72</v>
      </c>
      <c r="E39" s="1" t="s">
        <v>73</v>
      </c>
      <c r="F39" t="s">
        <v>15</v>
      </c>
      <c r="G39" s="1" t="s">
        <v>162</v>
      </c>
      <c r="H39">
        <v>7</v>
      </c>
      <c r="I39">
        <v>1</v>
      </c>
      <c r="J39" t="s">
        <v>160</v>
      </c>
      <c r="K39" t="str">
        <f>RIGHT(BOMCheck[[#This Row],[CircuitID]])</f>
        <v>7</v>
      </c>
      <c r="L39" s="1">
        <f>SUMIFS(I:I,J:J,BOMCheck[[#This Row],[CitcuitNumber]],H:H,7)</f>
        <v>9</v>
      </c>
      <c r="M39" s="1">
        <f>SUMIFS(I:I,J:J,BOMCheck[[#This Row],[CitcuitNumber]],G:G,"IEK-25-04")</f>
        <v>0</v>
      </c>
      <c r="N39" s="1" t="str" cm="1">
        <f t="array" ref="N39">_xlfn.TEXTJOIN(", ",TRUE,_xlfn.UNIQUE(IF(BOMCheck[[#This Row],[CitcuitNumber]]=J:J,K:K,"")))</f>
        <v>1, 2, 3, 4, 5, 6, 7, 8, 9</v>
      </c>
    </row>
    <row r="40" spans="1:14" x14ac:dyDescent="0.25">
      <c r="A40">
        <v>415</v>
      </c>
      <c r="B40">
        <v>0</v>
      </c>
      <c r="C40">
        <v>0</v>
      </c>
      <c r="D40" s="1" t="s">
        <v>72</v>
      </c>
      <c r="E40" s="1" t="s">
        <v>73</v>
      </c>
      <c r="F40" t="s">
        <v>15</v>
      </c>
      <c r="G40" s="1" t="s">
        <v>163</v>
      </c>
      <c r="H40">
        <v>13</v>
      </c>
      <c r="I40">
        <v>3</v>
      </c>
      <c r="J40" t="s">
        <v>160</v>
      </c>
      <c r="K40" t="str">
        <f>RIGHT(BOMCheck[[#This Row],[CircuitID]])</f>
        <v>7</v>
      </c>
      <c r="L40" s="1">
        <f>SUMIFS(I:I,J:J,BOMCheck[[#This Row],[CitcuitNumber]],H:H,7)</f>
        <v>9</v>
      </c>
      <c r="M40" s="1">
        <f>SUMIFS(I:I,J:J,BOMCheck[[#This Row],[CitcuitNumber]],G:G,"IEK-25-04")</f>
        <v>0</v>
      </c>
      <c r="N40" s="1" t="str" cm="1">
        <f t="array" ref="N40">_xlfn.TEXTJOIN(", ",TRUE,_xlfn.UNIQUE(IF(BOMCheck[[#This Row],[CitcuitNumber]]=J:J,K:K,"")))</f>
        <v>1, 2, 3, 4, 5, 6, 7, 8, 9</v>
      </c>
    </row>
    <row r="41" spans="1:14" x14ac:dyDescent="0.25">
      <c r="A41">
        <v>415</v>
      </c>
      <c r="B41">
        <v>0</v>
      </c>
      <c r="C41">
        <v>0</v>
      </c>
      <c r="D41" s="1" t="s">
        <v>72</v>
      </c>
      <c r="E41" s="1" t="s">
        <v>73</v>
      </c>
      <c r="F41" t="s">
        <v>15</v>
      </c>
      <c r="G41" s="1" t="s">
        <v>44</v>
      </c>
      <c r="H41">
        <v>11</v>
      </c>
      <c r="I41">
        <v>0.6</v>
      </c>
      <c r="J41" t="s">
        <v>160</v>
      </c>
      <c r="K41" t="str">
        <f>RIGHT(BOMCheck[[#This Row],[CircuitID]])</f>
        <v>7</v>
      </c>
      <c r="L41" s="1">
        <f>SUMIFS(I:I,J:J,BOMCheck[[#This Row],[CitcuitNumber]],H:H,7)</f>
        <v>9</v>
      </c>
      <c r="M41" s="1">
        <f>SUMIFS(I:I,J:J,BOMCheck[[#This Row],[CitcuitNumber]],G:G,"IEK-25-04")</f>
        <v>0</v>
      </c>
      <c r="N41" s="1" t="str" cm="1">
        <f t="array" ref="N41">_xlfn.TEXTJOIN(", ",TRUE,_xlfn.UNIQUE(IF(BOMCheck[[#This Row],[CitcuitNumber]]=J:J,K:K,"")))</f>
        <v>1, 2, 3, 4, 5, 6, 7, 8, 9</v>
      </c>
    </row>
    <row r="42" spans="1:14" x14ac:dyDescent="0.25">
      <c r="A42">
        <v>415</v>
      </c>
      <c r="B42">
        <v>0</v>
      </c>
      <c r="C42">
        <v>0</v>
      </c>
      <c r="D42" s="1" t="s">
        <v>72</v>
      </c>
      <c r="E42" s="1" t="s">
        <v>73</v>
      </c>
      <c r="F42" t="s">
        <v>15</v>
      </c>
      <c r="G42" s="1" t="s">
        <v>164</v>
      </c>
      <c r="H42">
        <v>1</v>
      </c>
      <c r="I42">
        <v>40.68</v>
      </c>
      <c r="J42" t="s">
        <v>160</v>
      </c>
      <c r="K42" t="str">
        <f>RIGHT(BOMCheck[[#This Row],[CircuitID]])</f>
        <v>7</v>
      </c>
      <c r="L42" s="1">
        <f>SUMIFS(I:I,J:J,BOMCheck[[#This Row],[CitcuitNumber]],H:H,7)</f>
        <v>9</v>
      </c>
      <c r="M42" s="1">
        <f>SUMIFS(I:I,J:J,BOMCheck[[#This Row],[CitcuitNumber]],G:G,"IEK-25-04")</f>
        <v>0</v>
      </c>
      <c r="N42" s="1" t="str" cm="1">
        <f t="array" ref="N42">_xlfn.TEXTJOIN(", ",TRUE,_xlfn.UNIQUE(IF(BOMCheck[[#This Row],[CitcuitNumber]]=J:J,K:K,"")))</f>
        <v>1, 2, 3, 4, 5, 6, 7, 8, 9</v>
      </c>
    </row>
    <row r="43" spans="1:14" x14ac:dyDescent="0.25">
      <c r="A43">
        <v>415</v>
      </c>
      <c r="B43">
        <v>0</v>
      </c>
      <c r="C43">
        <v>0</v>
      </c>
      <c r="D43" s="1" t="s">
        <v>72</v>
      </c>
      <c r="E43" s="1" t="s">
        <v>73</v>
      </c>
      <c r="F43" t="s">
        <v>15</v>
      </c>
      <c r="G43" s="1" t="s">
        <v>161</v>
      </c>
      <c r="H43">
        <v>4</v>
      </c>
      <c r="I43">
        <v>1</v>
      </c>
      <c r="J43" t="s">
        <v>160</v>
      </c>
      <c r="K43" t="str">
        <f>RIGHT(BOMCheck[[#This Row],[CircuitID]])</f>
        <v>7</v>
      </c>
      <c r="L43" s="1">
        <f>SUMIFS(I:I,J:J,BOMCheck[[#This Row],[CitcuitNumber]],H:H,7)</f>
        <v>9</v>
      </c>
      <c r="M43" s="1">
        <f>SUMIFS(I:I,J:J,BOMCheck[[#This Row],[CitcuitNumber]],G:G,"IEK-25-04")</f>
        <v>0</v>
      </c>
      <c r="N43" s="1" t="str" cm="1">
        <f t="array" ref="N43">_xlfn.TEXTJOIN(", ",TRUE,_xlfn.UNIQUE(IF(BOMCheck[[#This Row],[CitcuitNumber]]=J:J,K:K,"")))</f>
        <v>1, 2, 3, 4, 5, 6, 7, 8, 9</v>
      </c>
    </row>
    <row r="44" spans="1:14" x14ac:dyDescent="0.25">
      <c r="A44">
        <v>416</v>
      </c>
      <c r="B44">
        <v>0</v>
      </c>
      <c r="C44">
        <v>0</v>
      </c>
      <c r="D44" s="1" t="s">
        <v>74</v>
      </c>
      <c r="E44" s="1" t="s">
        <v>75</v>
      </c>
      <c r="F44" t="s">
        <v>15</v>
      </c>
      <c r="G44" s="1" t="s">
        <v>162</v>
      </c>
      <c r="H44">
        <v>7</v>
      </c>
      <c r="I44">
        <v>1</v>
      </c>
      <c r="J44" t="s">
        <v>160</v>
      </c>
      <c r="K44" t="str">
        <f>RIGHT(BOMCheck[[#This Row],[CircuitID]])</f>
        <v>8</v>
      </c>
      <c r="L44" s="1">
        <f>SUMIFS(I:I,J:J,BOMCheck[[#This Row],[CitcuitNumber]],H:H,7)</f>
        <v>9</v>
      </c>
      <c r="M44" s="1">
        <f>SUMIFS(I:I,J:J,BOMCheck[[#This Row],[CitcuitNumber]],G:G,"IEK-25-04")</f>
        <v>0</v>
      </c>
      <c r="N44" s="1" t="str" cm="1">
        <f t="array" ref="N44">_xlfn.TEXTJOIN(", ",TRUE,_xlfn.UNIQUE(IF(BOMCheck[[#This Row],[CitcuitNumber]]=J:J,K:K,"")))</f>
        <v>1, 2, 3, 4, 5, 6, 7, 8, 9</v>
      </c>
    </row>
    <row r="45" spans="1:14" x14ac:dyDescent="0.25">
      <c r="A45">
        <v>416</v>
      </c>
      <c r="B45">
        <v>0</v>
      </c>
      <c r="C45">
        <v>0</v>
      </c>
      <c r="D45" s="1" t="s">
        <v>74</v>
      </c>
      <c r="E45" s="1" t="s">
        <v>75</v>
      </c>
      <c r="F45" t="s">
        <v>15</v>
      </c>
      <c r="G45" s="1" t="s">
        <v>161</v>
      </c>
      <c r="H45">
        <v>4</v>
      </c>
      <c r="I45">
        <v>1</v>
      </c>
      <c r="J45" t="s">
        <v>160</v>
      </c>
      <c r="K45" t="str">
        <f>RIGHT(BOMCheck[[#This Row],[CircuitID]])</f>
        <v>8</v>
      </c>
      <c r="L45" s="1">
        <f>SUMIFS(I:I,J:J,BOMCheck[[#This Row],[CitcuitNumber]],H:H,7)</f>
        <v>9</v>
      </c>
      <c r="M45" s="1">
        <f>SUMIFS(I:I,J:J,BOMCheck[[#This Row],[CitcuitNumber]],G:G,"IEK-25-04")</f>
        <v>0</v>
      </c>
      <c r="N45" s="1" t="str" cm="1">
        <f t="array" ref="N45">_xlfn.TEXTJOIN(", ",TRUE,_xlfn.UNIQUE(IF(BOMCheck[[#This Row],[CitcuitNumber]]=J:J,K:K,"")))</f>
        <v>1, 2, 3, 4, 5, 6, 7, 8, 9</v>
      </c>
    </row>
    <row r="46" spans="1:14" x14ac:dyDescent="0.25">
      <c r="A46">
        <v>416</v>
      </c>
      <c r="B46">
        <v>0</v>
      </c>
      <c r="C46">
        <v>0</v>
      </c>
      <c r="D46" s="1" t="s">
        <v>74</v>
      </c>
      <c r="E46" s="1" t="s">
        <v>75</v>
      </c>
      <c r="F46" t="s">
        <v>15</v>
      </c>
      <c r="G46" s="1" t="s">
        <v>164</v>
      </c>
      <c r="H46">
        <v>1</v>
      </c>
      <c r="I46">
        <v>40.68</v>
      </c>
      <c r="J46" t="s">
        <v>160</v>
      </c>
      <c r="K46" t="str">
        <f>RIGHT(BOMCheck[[#This Row],[CircuitID]])</f>
        <v>8</v>
      </c>
      <c r="L46" s="1">
        <f>SUMIFS(I:I,J:J,BOMCheck[[#This Row],[CitcuitNumber]],H:H,7)</f>
        <v>9</v>
      </c>
      <c r="M46" s="1">
        <f>SUMIFS(I:I,J:J,BOMCheck[[#This Row],[CitcuitNumber]],G:G,"IEK-25-04")</f>
        <v>0</v>
      </c>
      <c r="N46" s="1" t="str" cm="1">
        <f t="array" ref="N46">_xlfn.TEXTJOIN(", ",TRUE,_xlfn.UNIQUE(IF(BOMCheck[[#This Row],[CitcuitNumber]]=J:J,K:K,"")))</f>
        <v>1, 2, 3, 4, 5, 6, 7, 8, 9</v>
      </c>
    </row>
    <row r="47" spans="1:14" x14ac:dyDescent="0.25">
      <c r="A47">
        <v>416</v>
      </c>
      <c r="B47">
        <v>0</v>
      </c>
      <c r="C47">
        <v>0</v>
      </c>
      <c r="D47" s="1" t="s">
        <v>74</v>
      </c>
      <c r="E47" s="1" t="s">
        <v>75</v>
      </c>
      <c r="F47" t="s">
        <v>15</v>
      </c>
      <c r="G47" s="1" t="s">
        <v>163</v>
      </c>
      <c r="H47">
        <v>13</v>
      </c>
      <c r="I47">
        <v>3</v>
      </c>
      <c r="J47" t="s">
        <v>160</v>
      </c>
      <c r="K47" t="str">
        <f>RIGHT(BOMCheck[[#This Row],[CircuitID]])</f>
        <v>8</v>
      </c>
      <c r="L47" s="1">
        <f>SUMIFS(I:I,J:J,BOMCheck[[#This Row],[CitcuitNumber]],H:H,7)</f>
        <v>9</v>
      </c>
      <c r="M47" s="1">
        <f>SUMIFS(I:I,J:J,BOMCheck[[#This Row],[CitcuitNumber]],G:G,"IEK-25-04")</f>
        <v>0</v>
      </c>
      <c r="N47" s="1" t="str" cm="1">
        <f t="array" ref="N47">_xlfn.TEXTJOIN(", ",TRUE,_xlfn.UNIQUE(IF(BOMCheck[[#This Row],[CitcuitNumber]]=J:J,K:K,"")))</f>
        <v>1, 2, 3, 4, 5, 6, 7, 8, 9</v>
      </c>
    </row>
    <row r="48" spans="1:14" x14ac:dyDescent="0.25">
      <c r="A48">
        <v>416</v>
      </c>
      <c r="B48">
        <v>0</v>
      </c>
      <c r="C48">
        <v>0</v>
      </c>
      <c r="D48" s="1" t="s">
        <v>74</v>
      </c>
      <c r="E48" s="1" t="s">
        <v>75</v>
      </c>
      <c r="F48" t="s">
        <v>15</v>
      </c>
      <c r="G48" s="1" t="s">
        <v>45</v>
      </c>
      <c r="H48">
        <v>10</v>
      </c>
      <c r="I48">
        <v>1</v>
      </c>
      <c r="J48" t="s">
        <v>160</v>
      </c>
      <c r="K48" t="str">
        <f>RIGHT(BOMCheck[[#This Row],[CircuitID]])</f>
        <v>8</v>
      </c>
      <c r="L48" s="1">
        <f>SUMIFS(I:I,J:J,BOMCheck[[#This Row],[CitcuitNumber]],H:H,7)</f>
        <v>9</v>
      </c>
      <c r="M48" s="1">
        <f>SUMIFS(I:I,J:J,BOMCheck[[#This Row],[CitcuitNumber]],G:G,"IEK-25-04")</f>
        <v>0</v>
      </c>
      <c r="N48" s="1" t="str" cm="1">
        <f t="array" ref="N48">_xlfn.TEXTJOIN(", ",TRUE,_xlfn.UNIQUE(IF(BOMCheck[[#This Row],[CitcuitNumber]]=J:J,K:K,"")))</f>
        <v>1, 2, 3, 4, 5, 6, 7, 8, 9</v>
      </c>
    </row>
    <row r="49" spans="1:14" x14ac:dyDescent="0.25">
      <c r="A49">
        <v>416</v>
      </c>
      <c r="B49">
        <v>0</v>
      </c>
      <c r="C49">
        <v>0</v>
      </c>
      <c r="D49" s="1" t="s">
        <v>74</v>
      </c>
      <c r="E49" s="1" t="s">
        <v>75</v>
      </c>
      <c r="F49" t="s">
        <v>15</v>
      </c>
      <c r="G49" s="1" t="s">
        <v>44</v>
      </c>
      <c r="H49">
        <v>11</v>
      </c>
      <c r="I49">
        <v>0.6</v>
      </c>
      <c r="J49" t="s">
        <v>160</v>
      </c>
      <c r="K49" t="str">
        <f>RIGHT(BOMCheck[[#This Row],[CircuitID]])</f>
        <v>8</v>
      </c>
      <c r="L49" s="1">
        <f>SUMIFS(I:I,J:J,BOMCheck[[#This Row],[CitcuitNumber]],H:H,7)</f>
        <v>9</v>
      </c>
      <c r="M49" s="1">
        <f>SUMIFS(I:I,J:J,BOMCheck[[#This Row],[CitcuitNumber]],G:G,"IEK-25-04")</f>
        <v>0</v>
      </c>
      <c r="N49" s="1" t="str" cm="1">
        <f t="array" ref="N49">_xlfn.TEXTJOIN(", ",TRUE,_xlfn.UNIQUE(IF(BOMCheck[[#This Row],[CitcuitNumber]]=J:J,K:K,"")))</f>
        <v>1, 2, 3, 4, 5, 6, 7, 8, 9</v>
      </c>
    </row>
    <row r="50" spans="1:14" x14ac:dyDescent="0.25">
      <c r="A50">
        <v>417</v>
      </c>
      <c r="B50">
        <v>0</v>
      </c>
      <c r="C50">
        <v>0</v>
      </c>
      <c r="D50" s="1" t="s">
        <v>76</v>
      </c>
      <c r="E50" s="1" t="s">
        <v>77</v>
      </c>
      <c r="F50" t="s">
        <v>15</v>
      </c>
      <c r="G50" s="1" t="s">
        <v>45</v>
      </c>
      <c r="H50">
        <v>10</v>
      </c>
      <c r="I50">
        <v>1</v>
      </c>
      <c r="J50" t="s">
        <v>160</v>
      </c>
      <c r="K50" t="str">
        <f>RIGHT(BOMCheck[[#This Row],[CircuitID]])</f>
        <v>9</v>
      </c>
      <c r="L50" s="1">
        <f>SUMIFS(I:I,J:J,BOMCheck[[#This Row],[CitcuitNumber]],H:H,7)</f>
        <v>9</v>
      </c>
      <c r="M50" s="1">
        <f>SUMIFS(I:I,J:J,BOMCheck[[#This Row],[CitcuitNumber]],G:G,"IEK-25-04")</f>
        <v>0</v>
      </c>
      <c r="N50" s="1" t="str" cm="1">
        <f t="array" ref="N50">_xlfn.TEXTJOIN(", ",TRUE,_xlfn.UNIQUE(IF(BOMCheck[[#This Row],[CitcuitNumber]]=J:J,K:K,"")))</f>
        <v>1, 2, 3, 4, 5, 6, 7, 8, 9</v>
      </c>
    </row>
    <row r="51" spans="1:14" x14ac:dyDescent="0.25">
      <c r="A51">
        <v>417</v>
      </c>
      <c r="B51">
        <v>0</v>
      </c>
      <c r="C51">
        <v>0</v>
      </c>
      <c r="D51" s="1" t="s">
        <v>76</v>
      </c>
      <c r="E51" s="1" t="s">
        <v>77</v>
      </c>
      <c r="F51" t="s">
        <v>15</v>
      </c>
      <c r="G51" s="1" t="s">
        <v>161</v>
      </c>
      <c r="H51">
        <v>4</v>
      </c>
      <c r="I51">
        <v>1</v>
      </c>
      <c r="J51" t="s">
        <v>160</v>
      </c>
      <c r="K51" t="str">
        <f>RIGHT(BOMCheck[[#This Row],[CircuitID]])</f>
        <v>9</v>
      </c>
      <c r="L51" s="1">
        <f>SUMIFS(I:I,J:J,BOMCheck[[#This Row],[CitcuitNumber]],H:H,7)</f>
        <v>9</v>
      </c>
      <c r="M51" s="1">
        <f>SUMIFS(I:I,J:J,BOMCheck[[#This Row],[CitcuitNumber]],G:G,"IEK-25-04")</f>
        <v>0</v>
      </c>
      <c r="N51" s="1" t="str" cm="1">
        <f t="array" ref="N51">_xlfn.TEXTJOIN(", ",TRUE,_xlfn.UNIQUE(IF(BOMCheck[[#This Row],[CitcuitNumber]]=J:J,K:K,"")))</f>
        <v>1, 2, 3, 4, 5, 6, 7, 8, 9</v>
      </c>
    </row>
    <row r="52" spans="1:14" x14ac:dyDescent="0.25">
      <c r="A52">
        <v>417</v>
      </c>
      <c r="B52">
        <v>0</v>
      </c>
      <c r="C52">
        <v>0</v>
      </c>
      <c r="D52" s="1" t="s">
        <v>76</v>
      </c>
      <c r="E52" s="1" t="s">
        <v>77</v>
      </c>
      <c r="F52" t="s">
        <v>15</v>
      </c>
      <c r="G52" s="1" t="s">
        <v>164</v>
      </c>
      <c r="H52">
        <v>1</v>
      </c>
      <c r="I52">
        <v>40.68</v>
      </c>
      <c r="J52" t="s">
        <v>160</v>
      </c>
      <c r="K52" t="str">
        <f>RIGHT(BOMCheck[[#This Row],[CircuitID]])</f>
        <v>9</v>
      </c>
      <c r="L52" s="1">
        <f>SUMIFS(I:I,J:J,BOMCheck[[#This Row],[CitcuitNumber]],H:H,7)</f>
        <v>9</v>
      </c>
      <c r="M52" s="1">
        <f>SUMIFS(I:I,J:J,BOMCheck[[#This Row],[CitcuitNumber]],G:G,"IEK-25-04")</f>
        <v>0</v>
      </c>
      <c r="N52" s="1" t="str" cm="1">
        <f t="array" ref="N52">_xlfn.TEXTJOIN(", ",TRUE,_xlfn.UNIQUE(IF(BOMCheck[[#This Row],[CitcuitNumber]]=J:J,K:K,"")))</f>
        <v>1, 2, 3, 4, 5, 6, 7, 8, 9</v>
      </c>
    </row>
    <row r="53" spans="1:14" x14ac:dyDescent="0.25">
      <c r="A53">
        <v>417</v>
      </c>
      <c r="B53">
        <v>0</v>
      </c>
      <c r="C53">
        <v>0</v>
      </c>
      <c r="D53" s="1" t="s">
        <v>76</v>
      </c>
      <c r="E53" s="1" t="s">
        <v>77</v>
      </c>
      <c r="F53" t="s">
        <v>15</v>
      </c>
      <c r="G53" s="1" t="s">
        <v>162</v>
      </c>
      <c r="H53">
        <v>7</v>
      </c>
      <c r="I53">
        <v>1</v>
      </c>
      <c r="J53" t="s">
        <v>160</v>
      </c>
      <c r="K53" t="str">
        <f>RIGHT(BOMCheck[[#This Row],[CircuitID]])</f>
        <v>9</v>
      </c>
      <c r="L53" s="1">
        <f>SUMIFS(I:I,J:J,BOMCheck[[#This Row],[CitcuitNumber]],H:H,7)</f>
        <v>9</v>
      </c>
      <c r="M53" s="1">
        <f>SUMIFS(I:I,J:J,BOMCheck[[#This Row],[CitcuitNumber]],G:G,"IEK-25-04")</f>
        <v>0</v>
      </c>
      <c r="N53" s="1" t="str" cm="1">
        <f t="array" ref="N53">_xlfn.TEXTJOIN(", ",TRUE,_xlfn.UNIQUE(IF(BOMCheck[[#This Row],[CitcuitNumber]]=J:J,K:K,"")))</f>
        <v>1, 2, 3, 4, 5, 6, 7, 8, 9</v>
      </c>
    </row>
    <row r="54" spans="1:14" x14ac:dyDescent="0.25">
      <c r="A54">
        <v>417</v>
      </c>
      <c r="B54">
        <v>0</v>
      </c>
      <c r="C54">
        <v>0</v>
      </c>
      <c r="D54" s="1" t="s">
        <v>76</v>
      </c>
      <c r="E54" s="1" t="s">
        <v>77</v>
      </c>
      <c r="F54" t="s">
        <v>15</v>
      </c>
      <c r="G54" s="1" t="s">
        <v>163</v>
      </c>
      <c r="H54">
        <v>13</v>
      </c>
      <c r="I54">
        <v>3</v>
      </c>
      <c r="J54" t="s">
        <v>160</v>
      </c>
      <c r="K54" t="str">
        <f>RIGHT(BOMCheck[[#This Row],[CircuitID]])</f>
        <v>9</v>
      </c>
      <c r="L54" s="1">
        <f>SUMIFS(I:I,J:J,BOMCheck[[#This Row],[CitcuitNumber]],H:H,7)</f>
        <v>9</v>
      </c>
      <c r="M54" s="1">
        <f>SUMIFS(I:I,J:J,BOMCheck[[#This Row],[CitcuitNumber]],G:G,"IEK-25-04")</f>
        <v>0</v>
      </c>
      <c r="N54" s="1" t="str" cm="1">
        <f t="array" ref="N54">_xlfn.TEXTJOIN(", ",TRUE,_xlfn.UNIQUE(IF(BOMCheck[[#This Row],[CitcuitNumber]]=J:J,K:K,"")))</f>
        <v>1, 2, 3, 4, 5, 6, 7, 8, 9</v>
      </c>
    </row>
    <row r="55" spans="1:14" x14ac:dyDescent="0.25">
      <c r="A55">
        <v>417</v>
      </c>
      <c r="B55">
        <v>0</v>
      </c>
      <c r="C55">
        <v>0</v>
      </c>
      <c r="D55" s="1" t="s">
        <v>76</v>
      </c>
      <c r="E55" s="1" t="s">
        <v>77</v>
      </c>
      <c r="F55" t="s">
        <v>15</v>
      </c>
      <c r="G55" s="1" t="s">
        <v>44</v>
      </c>
      <c r="H55">
        <v>11</v>
      </c>
      <c r="I55">
        <v>0.6</v>
      </c>
      <c r="J55" t="s">
        <v>160</v>
      </c>
      <c r="K55" t="str">
        <f>RIGHT(BOMCheck[[#This Row],[CircuitID]])</f>
        <v>9</v>
      </c>
      <c r="L55" s="1">
        <f>SUMIFS(I:I,J:J,BOMCheck[[#This Row],[CitcuitNumber]],H:H,7)</f>
        <v>9</v>
      </c>
      <c r="M55" s="1">
        <f>SUMIFS(I:I,J:J,BOMCheck[[#This Row],[CitcuitNumber]],G:G,"IEK-25-04")</f>
        <v>0</v>
      </c>
      <c r="N55" s="1" t="str" cm="1">
        <f t="array" ref="N55">_xlfn.TEXTJOIN(", ",TRUE,_xlfn.UNIQUE(IF(BOMCheck[[#This Row],[CitcuitNumber]]=J:J,K:K,"")))</f>
        <v>1, 2, 3, 4, 5, 6, 7, 8, 9</v>
      </c>
    </row>
    <row r="56" spans="1:14" x14ac:dyDescent="0.25">
      <c r="A56">
        <v>418</v>
      </c>
      <c r="B56">
        <v>0</v>
      </c>
      <c r="C56">
        <v>0</v>
      </c>
      <c r="D56" s="1" t="s">
        <v>78</v>
      </c>
      <c r="E56" s="1" t="s">
        <v>79</v>
      </c>
      <c r="F56" t="s">
        <v>15</v>
      </c>
      <c r="G56" s="1" t="s">
        <v>161</v>
      </c>
      <c r="H56">
        <v>4</v>
      </c>
      <c r="I56">
        <v>1</v>
      </c>
      <c r="J56" t="s">
        <v>165</v>
      </c>
      <c r="K56" t="str">
        <f>RIGHT(BOMCheck[[#This Row],[CircuitID]])</f>
        <v>0</v>
      </c>
      <c r="L56" s="1">
        <f>SUMIFS(I:I,J:J,BOMCheck[[#This Row],[CitcuitNumber]],H:H,7)</f>
        <v>10</v>
      </c>
      <c r="M56" s="1">
        <f>SUMIFS(I:I,J:J,BOMCheck[[#This Row],[CitcuitNumber]],G:G,"IEK-25-04")</f>
        <v>0</v>
      </c>
      <c r="N56" s="1" t="str" cm="1">
        <f t="array" ref="N56">_xlfn.TEXTJOIN(", ",TRUE,_xlfn.UNIQUE(IF(BOMCheck[[#This Row],[CitcuitNumber]]=J:J,K:K,"")))</f>
        <v>0, 1, 2, 3, 4, 5, 6, 7, 8, 9</v>
      </c>
    </row>
    <row r="57" spans="1:14" x14ac:dyDescent="0.25">
      <c r="A57">
        <v>418</v>
      </c>
      <c r="B57">
        <v>0</v>
      </c>
      <c r="C57">
        <v>0</v>
      </c>
      <c r="D57" s="1" t="s">
        <v>78</v>
      </c>
      <c r="E57" s="1" t="s">
        <v>79</v>
      </c>
      <c r="F57" t="s">
        <v>15</v>
      </c>
      <c r="G57" s="1" t="s">
        <v>164</v>
      </c>
      <c r="H57">
        <v>1</v>
      </c>
      <c r="I57">
        <v>40.68</v>
      </c>
      <c r="J57" t="s">
        <v>165</v>
      </c>
      <c r="K57" t="str">
        <f>RIGHT(BOMCheck[[#This Row],[CircuitID]])</f>
        <v>0</v>
      </c>
      <c r="L57" s="1">
        <f>SUMIFS(I:I,J:J,BOMCheck[[#This Row],[CitcuitNumber]],H:H,7)</f>
        <v>10</v>
      </c>
      <c r="M57" s="1">
        <f>SUMIFS(I:I,J:J,BOMCheck[[#This Row],[CitcuitNumber]],G:G,"IEK-25-04")</f>
        <v>0</v>
      </c>
      <c r="N57" s="1" t="str" cm="1">
        <f t="array" ref="N57">_xlfn.TEXTJOIN(", ",TRUE,_xlfn.UNIQUE(IF(BOMCheck[[#This Row],[CitcuitNumber]]=J:J,K:K,"")))</f>
        <v>0, 1, 2, 3, 4, 5, 6, 7, 8, 9</v>
      </c>
    </row>
    <row r="58" spans="1:14" x14ac:dyDescent="0.25">
      <c r="A58">
        <v>418</v>
      </c>
      <c r="B58">
        <v>0</v>
      </c>
      <c r="C58">
        <v>0</v>
      </c>
      <c r="D58" s="1" t="s">
        <v>78</v>
      </c>
      <c r="E58" s="1" t="s">
        <v>79</v>
      </c>
      <c r="F58" t="s">
        <v>15</v>
      </c>
      <c r="G58" s="1" t="s">
        <v>45</v>
      </c>
      <c r="H58">
        <v>10</v>
      </c>
      <c r="I58">
        <v>1</v>
      </c>
      <c r="J58" t="s">
        <v>165</v>
      </c>
      <c r="K58" t="str">
        <f>RIGHT(BOMCheck[[#This Row],[CircuitID]])</f>
        <v>0</v>
      </c>
      <c r="L58" s="1">
        <f>SUMIFS(I:I,J:J,BOMCheck[[#This Row],[CitcuitNumber]],H:H,7)</f>
        <v>10</v>
      </c>
      <c r="M58" s="1">
        <f>SUMIFS(I:I,J:J,BOMCheck[[#This Row],[CitcuitNumber]],G:G,"IEK-25-04")</f>
        <v>0</v>
      </c>
      <c r="N58" s="1" t="str" cm="1">
        <f t="array" ref="N58">_xlfn.TEXTJOIN(", ",TRUE,_xlfn.UNIQUE(IF(BOMCheck[[#This Row],[CitcuitNumber]]=J:J,K:K,"")))</f>
        <v>0, 1, 2, 3, 4, 5, 6, 7, 8, 9</v>
      </c>
    </row>
    <row r="59" spans="1:14" x14ac:dyDescent="0.25">
      <c r="A59">
        <v>418</v>
      </c>
      <c r="B59">
        <v>0</v>
      </c>
      <c r="C59">
        <v>0</v>
      </c>
      <c r="D59" s="1" t="s">
        <v>78</v>
      </c>
      <c r="E59" s="1" t="s">
        <v>79</v>
      </c>
      <c r="F59" t="s">
        <v>15</v>
      </c>
      <c r="G59" s="1" t="s">
        <v>163</v>
      </c>
      <c r="H59">
        <v>13</v>
      </c>
      <c r="I59">
        <v>3</v>
      </c>
      <c r="J59" t="s">
        <v>165</v>
      </c>
      <c r="K59" t="str">
        <f>RIGHT(BOMCheck[[#This Row],[CircuitID]])</f>
        <v>0</v>
      </c>
      <c r="L59" s="1">
        <f>SUMIFS(I:I,J:J,BOMCheck[[#This Row],[CitcuitNumber]],H:H,7)</f>
        <v>10</v>
      </c>
      <c r="M59" s="1">
        <f>SUMIFS(I:I,J:J,BOMCheck[[#This Row],[CitcuitNumber]],G:G,"IEK-25-04")</f>
        <v>0</v>
      </c>
      <c r="N59" s="1" t="str" cm="1">
        <f t="array" ref="N59">_xlfn.TEXTJOIN(", ",TRUE,_xlfn.UNIQUE(IF(BOMCheck[[#This Row],[CitcuitNumber]]=J:J,K:K,"")))</f>
        <v>0, 1, 2, 3, 4, 5, 6, 7, 8, 9</v>
      </c>
    </row>
    <row r="60" spans="1:14" x14ac:dyDescent="0.25">
      <c r="A60">
        <v>418</v>
      </c>
      <c r="B60">
        <v>0</v>
      </c>
      <c r="C60">
        <v>0</v>
      </c>
      <c r="D60" s="1" t="s">
        <v>78</v>
      </c>
      <c r="E60" s="1" t="s">
        <v>79</v>
      </c>
      <c r="F60" t="s">
        <v>15</v>
      </c>
      <c r="G60" s="1" t="s">
        <v>44</v>
      </c>
      <c r="H60">
        <v>11</v>
      </c>
      <c r="I60">
        <v>0.6</v>
      </c>
      <c r="J60" t="s">
        <v>165</v>
      </c>
      <c r="K60" t="str">
        <f>RIGHT(BOMCheck[[#This Row],[CircuitID]])</f>
        <v>0</v>
      </c>
      <c r="L60" s="1">
        <f>SUMIFS(I:I,J:J,BOMCheck[[#This Row],[CitcuitNumber]],H:H,7)</f>
        <v>10</v>
      </c>
      <c r="M60" s="1">
        <f>SUMIFS(I:I,J:J,BOMCheck[[#This Row],[CitcuitNumber]],G:G,"IEK-25-04")</f>
        <v>0</v>
      </c>
      <c r="N60" s="1" t="str" cm="1">
        <f t="array" ref="N60">_xlfn.TEXTJOIN(", ",TRUE,_xlfn.UNIQUE(IF(BOMCheck[[#This Row],[CitcuitNumber]]=J:J,K:K,"")))</f>
        <v>0, 1, 2, 3, 4, 5, 6, 7, 8, 9</v>
      </c>
    </row>
    <row r="61" spans="1:14" x14ac:dyDescent="0.25">
      <c r="A61">
        <v>418</v>
      </c>
      <c r="B61">
        <v>0</v>
      </c>
      <c r="C61">
        <v>0</v>
      </c>
      <c r="D61" s="1" t="s">
        <v>78</v>
      </c>
      <c r="E61" s="1" t="s">
        <v>79</v>
      </c>
      <c r="F61" t="s">
        <v>15</v>
      </c>
      <c r="G61" s="1" t="s">
        <v>162</v>
      </c>
      <c r="H61">
        <v>7</v>
      </c>
      <c r="I61">
        <v>1</v>
      </c>
      <c r="J61" t="s">
        <v>165</v>
      </c>
      <c r="K61" t="str">
        <f>RIGHT(BOMCheck[[#This Row],[CircuitID]])</f>
        <v>0</v>
      </c>
      <c r="L61" s="1">
        <f>SUMIFS(I:I,J:J,BOMCheck[[#This Row],[CitcuitNumber]],H:H,7)</f>
        <v>10</v>
      </c>
      <c r="M61" s="1">
        <f>SUMIFS(I:I,J:J,BOMCheck[[#This Row],[CitcuitNumber]],G:G,"IEK-25-04")</f>
        <v>0</v>
      </c>
      <c r="N61" s="1" t="str" cm="1">
        <f t="array" ref="N61">_xlfn.TEXTJOIN(", ",TRUE,_xlfn.UNIQUE(IF(BOMCheck[[#This Row],[CitcuitNumber]]=J:J,K:K,"")))</f>
        <v>0, 1, 2, 3, 4, 5, 6, 7, 8, 9</v>
      </c>
    </row>
    <row r="62" spans="1:14" x14ac:dyDescent="0.25">
      <c r="A62">
        <v>419</v>
      </c>
      <c r="B62">
        <v>0</v>
      </c>
      <c r="C62">
        <v>0</v>
      </c>
      <c r="D62" s="1" t="s">
        <v>80</v>
      </c>
      <c r="E62" s="1" t="s">
        <v>81</v>
      </c>
      <c r="F62" t="s">
        <v>15</v>
      </c>
      <c r="G62" s="1" t="s">
        <v>162</v>
      </c>
      <c r="H62">
        <v>7</v>
      </c>
      <c r="I62">
        <v>1</v>
      </c>
      <c r="J62" t="s">
        <v>165</v>
      </c>
      <c r="K62" t="str">
        <f>RIGHT(BOMCheck[[#This Row],[CircuitID]])</f>
        <v>1</v>
      </c>
      <c r="L62" s="1">
        <f>SUMIFS(I:I,J:J,BOMCheck[[#This Row],[CitcuitNumber]],H:H,7)</f>
        <v>10</v>
      </c>
      <c r="M62" s="1">
        <f>SUMIFS(I:I,J:J,BOMCheck[[#This Row],[CitcuitNumber]],G:G,"IEK-25-04")</f>
        <v>0</v>
      </c>
      <c r="N62" s="1" t="str" cm="1">
        <f t="array" ref="N62">_xlfn.TEXTJOIN(", ",TRUE,_xlfn.UNIQUE(IF(BOMCheck[[#This Row],[CitcuitNumber]]=J:J,K:K,"")))</f>
        <v>0, 1, 2, 3, 4, 5, 6, 7, 8, 9</v>
      </c>
    </row>
    <row r="63" spans="1:14" x14ac:dyDescent="0.25">
      <c r="A63">
        <v>419</v>
      </c>
      <c r="B63">
        <v>0</v>
      </c>
      <c r="C63">
        <v>0</v>
      </c>
      <c r="D63" s="1" t="s">
        <v>80</v>
      </c>
      <c r="E63" s="1" t="s">
        <v>81</v>
      </c>
      <c r="F63" t="s">
        <v>15</v>
      </c>
      <c r="G63" s="1" t="s">
        <v>44</v>
      </c>
      <c r="H63">
        <v>11</v>
      </c>
      <c r="I63">
        <v>0.6</v>
      </c>
      <c r="J63" t="s">
        <v>165</v>
      </c>
      <c r="K63" t="str">
        <f>RIGHT(BOMCheck[[#This Row],[CircuitID]])</f>
        <v>1</v>
      </c>
      <c r="L63" s="1">
        <f>SUMIFS(I:I,J:J,BOMCheck[[#This Row],[CitcuitNumber]],H:H,7)</f>
        <v>10</v>
      </c>
      <c r="M63" s="1">
        <f>SUMIFS(I:I,J:J,BOMCheck[[#This Row],[CitcuitNumber]],G:G,"IEK-25-04")</f>
        <v>0</v>
      </c>
      <c r="N63" s="1" t="str" cm="1">
        <f t="array" ref="N63">_xlfn.TEXTJOIN(", ",TRUE,_xlfn.UNIQUE(IF(BOMCheck[[#This Row],[CitcuitNumber]]=J:J,K:K,"")))</f>
        <v>0, 1, 2, 3, 4, 5, 6, 7, 8, 9</v>
      </c>
    </row>
    <row r="64" spans="1:14" x14ac:dyDescent="0.25">
      <c r="A64">
        <v>419</v>
      </c>
      <c r="B64">
        <v>0</v>
      </c>
      <c r="C64">
        <v>0</v>
      </c>
      <c r="D64" s="1" t="s">
        <v>80</v>
      </c>
      <c r="E64" s="1" t="s">
        <v>81</v>
      </c>
      <c r="F64" t="s">
        <v>15</v>
      </c>
      <c r="G64" s="1" t="s">
        <v>163</v>
      </c>
      <c r="H64">
        <v>13</v>
      </c>
      <c r="I64">
        <v>3</v>
      </c>
      <c r="J64" t="s">
        <v>165</v>
      </c>
      <c r="K64" t="str">
        <f>RIGHT(BOMCheck[[#This Row],[CircuitID]])</f>
        <v>1</v>
      </c>
      <c r="L64" s="1">
        <f>SUMIFS(I:I,J:J,BOMCheck[[#This Row],[CitcuitNumber]],H:H,7)</f>
        <v>10</v>
      </c>
      <c r="M64" s="1">
        <f>SUMIFS(I:I,J:J,BOMCheck[[#This Row],[CitcuitNumber]],G:G,"IEK-25-04")</f>
        <v>0</v>
      </c>
      <c r="N64" s="1" t="str" cm="1">
        <f t="array" ref="N64">_xlfn.TEXTJOIN(", ",TRUE,_xlfn.UNIQUE(IF(BOMCheck[[#This Row],[CitcuitNumber]]=J:J,K:K,"")))</f>
        <v>0, 1, 2, 3, 4, 5, 6, 7, 8, 9</v>
      </c>
    </row>
    <row r="65" spans="1:14" x14ac:dyDescent="0.25">
      <c r="A65">
        <v>419</v>
      </c>
      <c r="B65">
        <v>0</v>
      </c>
      <c r="C65">
        <v>0</v>
      </c>
      <c r="D65" s="1" t="s">
        <v>80</v>
      </c>
      <c r="E65" s="1" t="s">
        <v>81</v>
      </c>
      <c r="F65" t="s">
        <v>15</v>
      </c>
      <c r="G65" s="1" t="s">
        <v>164</v>
      </c>
      <c r="H65">
        <v>1</v>
      </c>
      <c r="I65">
        <v>40.68</v>
      </c>
      <c r="J65" t="s">
        <v>165</v>
      </c>
      <c r="K65" t="str">
        <f>RIGHT(BOMCheck[[#This Row],[CircuitID]])</f>
        <v>1</v>
      </c>
      <c r="L65" s="1">
        <f>SUMIFS(I:I,J:J,BOMCheck[[#This Row],[CitcuitNumber]],H:H,7)</f>
        <v>10</v>
      </c>
      <c r="M65" s="1">
        <f>SUMIFS(I:I,J:J,BOMCheck[[#This Row],[CitcuitNumber]],G:G,"IEK-25-04")</f>
        <v>0</v>
      </c>
      <c r="N65" s="1" t="str" cm="1">
        <f t="array" ref="N65">_xlfn.TEXTJOIN(", ",TRUE,_xlfn.UNIQUE(IF(BOMCheck[[#This Row],[CitcuitNumber]]=J:J,K:K,"")))</f>
        <v>0, 1, 2, 3, 4, 5, 6, 7, 8, 9</v>
      </c>
    </row>
    <row r="66" spans="1:14" x14ac:dyDescent="0.25">
      <c r="A66">
        <v>419</v>
      </c>
      <c r="B66">
        <v>0</v>
      </c>
      <c r="C66">
        <v>0</v>
      </c>
      <c r="D66" s="1" t="s">
        <v>80</v>
      </c>
      <c r="E66" s="1" t="s">
        <v>81</v>
      </c>
      <c r="F66" t="s">
        <v>15</v>
      </c>
      <c r="G66" s="1" t="s">
        <v>161</v>
      </c>
      <c r="H66">
        <v>4</v>
      </c>
      <c r="I66">
        <v>1</v>
      </c>
      <c r="J66" t="s">
        <v>165</v>
      </c>
      <c r="K66" t="str">
        <f>RIGHT(BOMCheck[[#This Row],[CircuitID]])</f>
        <v>1</v>
      </c>
      <c r="L66" s="1">
        <f>SUMIFS(I:I,J:J,BOMCheck[[#This Row],[CitcuitNumber]],H:H,7)</f>
        <v>10</v>
      </c>
      <c r="M66" s="1">
        <f>SUMIFS(I:I,J:J,BOMCheck[[#This Row],[CitcuitNumber]],G:G,"IEK-25-04")</f>
        <v>0</v>
      </c>
      <c r="N66" s="1" t="str" cm="1">
        <f t="array" ref="N66">_xlfn.TEXTJOIN(", ",TRUE,_xlfn.UNIQUE(IF(BOMCheck[[#This Row],[CitcuitNumber]]=J:J,K:K,"")))</f>
        <v>0, 1, 2, 3, 4, 5, 6, 7, 8, 9</v>
      </c>
    </row>
    <row r="67" spans="1:14" x14ac:dyDescent="0.25">
      <c r="A67">
        <v>419</v>
      </c>
      <c r="B67">
        <v>0</v>
      </c>
      <c r="C67">
        <v>0</v>
      </c>
      <c r="D67" s="1" t="s">
        <v>80</v>
      </c>
      <c r="E67" s="1" t="s">
        <v>81</v>
      </c>
      <c r="F67" t="s">
        <v>15</v>
      </c>
      <c r="G67" s="1" t="s">
        <v>45</v>
      </c>
      <c r="H67">
        <v>10</v>
      </c>
      <c r="I67">
        <v>1</v>
      </c>
      <c r="J67" t="s">
        <v>165</v>
      </c>
      <c r="K67" t="str">
        <f>RIGHT(BOMCheck[[#This Row],[CircuitID]])</f>
        <v>1</v>
      </c>
      <c r="L67" s="1">
        <f>SUMIFS(I:I,J:J,BOMCheck[[#This Row],[CitcuitNumber]],H:H,7)</f>
        <v>10</v>
      </c>
      <c r="M67" s="1">
        <f>SUMIFS(I:I,J:J,BOMCheck[[#This Row],[CitcuitNumber]],G:G,"IEK-25-04")</f>
        <v>0</v>
      </c>
      <c r="N67" s="1" t="str" cm="1">
        <f t="array" ref="N67">_xlfn.TEXTJOIN(", ",TRUE,_xlfn.UNIQUE(IF(BOMCheck[[#This Row],[CitcuitNumber]]=J:J,K:K,"")))</f>
        <v>0, 1, 2, 3, 4, 5, 6, 7, 8, 9</v>
      </c>
    </row>
    <row r="68" spans="1:14" x14ac:dyDescent="0.25">
      <c r="A68">
        <v>420</v>
      </c>
      <c r="B68">
        <v>0</v>
      </c>
      <c r="C68">
        <v>0</v>
      </c>
      <c r="D68" s="1" t="s">
        <v>82</v>
      </c>
      <c r="E68" s="1" t="s">
        <v>83</v>
      </c>
      <c r="F68" t="s">
        <v>15</v>
      </c>
      <c r="G68" s="1" t="s">
        <v>162</v>
      </c>
      <c r="H68">
        <v>7</v>
      </c>
      <c r="I68">
        <v>1</v>
      </c>
      <c r="J68" t="s">
        <v>165</v>
      </c>
      <c r="K68" t="str">
        <f>RIGHT(BOMCheck[[#This Row],[CircuitID]])</f>
        <v>2</v>
      </c>
      <c r="L68" s="1">
        <f>SUMIFS(I:I,J:J,BOMCheck[[#This Row],[CitcuitNumber]],H:H,7)</f>
        <v>10</v>
      </c>
      <c r="M68" s="1">
        <f>SUMIFS(I:I,J:J,BOMCheck[[#This Row],[CitcuitNumber]],G:G,"IEK-25-04")</f>
        <v>0</v>
      </c>
      <c r="N68" s="1" t="str" cm="1">
        <f t="array" ref="N68">_xlfn.TEXTJOIN(", ",TRUE,_xlfn.UNIQUE(IF(BOMCheck[[#This Row],[CitcuitNumber]]=J:J,K:K,"")))</f>
        <v>0, 1, 2, 3, 4, 5, 6, 7, 8, 9</v>
      </c>
    </row>
    <row r="69" spans="1:14" x14ac:dyDescent="0.25">
      <c r="A69">
        <v>420</v>
      </c>
      <c r="B69">
        <v>0</v>
      </c>
      <c r="C69">
        <v>0</v>
      </c>
      <c r="D69" s="1" t="s">
        <v>82</v>
      </c>
      <c r="E69" s="1" t="s">
        <v>83</v>
      </c>
      <c r="F69" t="s">
        <v>15</v>
      </c>
      <c r="G69" s="1" t="s">
        <v>44</v>
      </c>
      <c r="H69">
        <v>11</v>
      </c>
      <c r="I69">
        <v>0.6</v>
      </c>
      <c r="J69" t="s">
        <v>165</v>
      </c>
      <c r="K69" t="str">
        <f>RIGHT(BOMCheck[[#This Row],[CircuitID]])</f>
        <v>2</v>
      </c>
      <c r="L69" s="1">
        <f>SUMIFS(I:I,J:J,BOMCheck[[#This Row],[CitcuitNumber]],H:H,7)</f>
        <v>10</v>
      </c>
      <c r="M69" s="1">
        <f>SUMIFS(I:I,J:J,BOMCheck[[#This Row],[CitcuitNumber]],G:G,"IEK-25-04")</f>
        <v>0</v>
      </c>
      <c r="N69" s="1" t="str" cm="1">
        <f t="array" ref="N69">_xlfn.TEXTJOIN(", ",TRUE,_xlfn.UNIQUE(IF(BOMCheck[[#This Row],[CitcuitNumber]]=J:J,K:K,"")))</f>
        <v>0, 1, 2, 3, 4, 5, 6, 7, 8, 9</v>
      </c>
    </row>
    <row r="70" spans="1:14" x14ac:dyDescent="0.25">
      <c r="A70">
        <v>420</v>
      </c>
      <c r="B70">
        <v>0</v>
      </c>
      <c r="C70">
        <v>0</v>
      </c>
      <c r="D70" s="1" t="s">
        <v>82</v>
      </c>
      <c r="E70" s="1" t="s">
        <v>83</v>
      </c>
      <c r="F70" t="s">
        <v>15</v>
      </c>
      <c r="G70" s="1" t="s">
        <v>45</v>
      </c>
      <c r="H70">
        <v>10</v>
      </c>
      <c r="I70">
        <v>1</v>
      </c>
      <c r="J70" t="s">
        <v>165</v>
      </c>
      <c r="K70" t="str">
        <f>RIGHT(BOMCheck[[#This Row],[CircuitID]])</f>
        <v>2</v>
      </c>
      <c r="L70" s="1">
        <f>SUMIFS(I:I,J:J,BOMCheck[[#This Row],[CitcuitNumber]],H:H,7)</f>
        <v>10</v>
      </c>
      <c r="M70" s="1">
        <f>SUMIFS(I:I,J:J,BOMCheck[[#This Row],[CitcuitNumber]],G:G,"IEK-25-04")</f>
        <v>0</v>
      </c>
      <c r="N70" s="1" t="str" cm="1">
        <f t="array" ref="N70">_xlfn.TEXTJOIN(", ",TRUE,_xlfn.UNIQUE(IF(BOMCheck[[#This Row],[CitcuitNumber]]=J:J,K:K,"")))</f>
        <v>0, 1, 2, 3, 4, 5, 6, 7, 8, 9</v>
      </c>
    </row>
    <row r="71" spans="1:14" x14ac:dyDescent="0.25">
      <c r="A71">
        <v>420</v>
      </c>
      <c r="B71">
        <v>0</v>
      </c>
      <c r="C71">
        <v>0</v>
      </c>
      <c r="D71" s="1" t="s">
        <v>82</v>
      </c>
      <c r="E71" s="1" t="s">
        <v>83</v>
      </c>
      <c r="F71" t="s">
        <v>15</v>
      </c>
      <c r="G71" s="1" t="s">
        <v>164</v>
      </c>
      <c r="H71">
        <v>1</v>
      </c>
      <c r="I71">
        <v>40.68</v>
      </c>
      <c r="J71" t="s">
        <v>165</v>
      </c>
      <c r="K71" t="str">
        <f>RIGHT(BOMCheck[[#This Row],[CircuitID]])</f>
        <v>2</v>
      </c>
      <c r="L71" s="1">
        <f>SUMIFS(I:I,J:J,BOMCheck[[#This Row],[CitcuitNumber]],H:H,7)</f>
        <v>10</v>
      </c>
      <c r="M71" s="1">
        <f>SUMIFS(I:I,J:J,BOMCheck[[#This Row],[CitcuitNumber]],G:G,"IEK-25-04")</f>
        <v>0</v>
      </c>
      <c r="N71" s="1" t="str" cm="1">
        <f t="array" ref="N71">_xlfn.TEXTJOIN(", ",TRUE,_xlfn.UNIQUE(IF(BOMCheck[[#This Row],[CitcuitNumber]]=J:J,K:K,"")))</f>
        <v>0, 1, 2, 3, 4, 5, 6, 7, 8, 9</v>
      </c>
    </row>
    <row r="72" spans="1:14" x14ac:dyDescent="0.25">
      <c r="A72">
        <v>420</v>
      </c>
      <c r="B72">
        <v>0</v>
      </c>
      <c r="C72">
        <v>0</v>
      </c>
      <c r="D72" s="1" t="s">
        <v>82</v>
      </c>
      <c r="E72" s="1" t="s">
        <v>83</v>
      </c>
      <c r="F72" t="s">
        <v>15</v>
      </c>
      <c r="G72" s="1" t="s">
        <v>161</v>
      </c>
      <c r="H72">
        <v>4</v>
      </c>
      <c r="I72">
        <v>1</v>
      </c>
      <c r="J72" t="s">
        <v>165</v>
      </c>
      <c r="K72" t="str">
        <f>RIGHT(BOMCheck[[#This Row],[CircuitID]])</f>
        <v>2</v>
      </c>
      <c r="L72" s="1">
        <f>SUMIFS(I:I,J:J,BOMCheck[[#This Row],[CitcuitNumber]],H:H,7)</f>
        <v>10</v>
      </c>
      <c r="M72" s="1">
        <f>SUMIFS(I:I,J:J,BOMCheck[[#This Row],[CitcuitNumber]],G:G,"IEK-25-04")</f>
        <v>0</v>
      </c>
      <c r="N72" s="1" t="str" cm="1">
        <f t="array" ref="N72">_xlfn.TEXTJOIN(", ",TRUE,_xlfn.UNIQUE(IF(BOMCheck[[#This Row],[CitcuitNumber]]=J:J,K:K,"")))</f>
        <v>0, 1, 2, 3, 4, 5, 6, 7, 8, 9</v>
      </c>
    </row>
    <row r="73" spans="1:14" x14ac:dyDescent="0.25">
      <c r="A73">
        <v>420</v>
      </c>
      <c r="B73">
        <v>0</v>
      </c>
      <c r="C73">
        <v>0</v>
      </c>
      <c r="D73" s="1" t="s">
        <v>82</v>
      </c>
      <c r="E73" s="1" t="s">
        <v>83</v>
      </c>
      <c r="F73" t="s">
        <v>15</v>
      </c>
      <c r="G73" s="1" t="s">
        <v>163</v>
      </c>
      <c r="H73">
        <v>13</v>
      </c>
      <c r="I73">
        <v>3</v>
      </c>
      <c r="J73" t="s">
        <v>165</v>
      </c>
      <c r="K73" t="str">
        <f>RIGHT(BOMCheck[[#This Row],[CircuitID]])</f>
        <v>2</v>
      </c>
      <c r="L73" s="1">
        <f>SUMIFS(I:I,J:J,BOMCheck[[#This Row],[CitcuitNumber]],H:H,7)</f>
        <v>10</v>
      </c>
      <c r="M73" s="1">
        <f>SUMIFS(I:I,J:J,BOMCheck[[#This Row],[CitcuitNumber]],G:G,"IEK-25-04")</f>
        <v>0</v>
      </c>
      <c r="N73" s="1" t="str" cm="1">
        <f t="array" ref="N73">_xlfn.TEXTJOIN(", ",TRUE,_xlfn.UNIQUE(IF(BOMCheck[[#This Row],[CitcuitNumber]]=J:J,K:K,"")))</f>
        <v>0, 1, 2, 3, 4, 5, 6, 7, 8, 9</v>
      </c>
    </row>
    <row r="74" spans="1:14" x14ac:dyDescent="0.25">
      <c r="A74">
        <v>421</v>
      </c>
      <c r="B74">
        <v>0</v>
      </c>
      <c r="C74">
        <v>0</v>
      </c>
      <c r="D74" s="1" t="s">
        <v>84</v>
      </c>
      <c r="E74" s="1" t="s">
        <v>85</v>
      </c>
      <c r="F74" t="s">
        <v>15</v>
      </c>
      <c r="G74" s="1" t="s">
        <v>162</v>
      </c>
      <c r="H74">
        <v>7</v>
      </c>
      <c r="I74">
        <v>1</v>
      </c>
      <c r="J74" t="s">
        <v>165</v>
      </c>
      <c r="K74" t="str">
        <f>RIGHT(BOMCheck[[#This Row],[CircuitID]])</f>
        <v>3</v>
      </c>
      <c r="L74" s="1">
        <f>SUMIFS(I:I,J:J,BOMCheck[[#This Row],[CitcuitNumber]],H:H,7)</f>
        <v>10</v>
      </c>
      <c r="M74" s="1">
        <f>SUMIFS(I:I,J:J,BOMCheck[[#This Row],[CitcuitNumber]],G:G,"IEK-25-04")</f>
        <v>0</v>
      </c>
      <c r="N74" s="1" t="str" cm="1">
        <f t="array" ref="N74">_xlfn.TEXTJOIN(", ",TRUE,_xlfn.UNIQUE(IF(BOMCheck[[#This Row],[CitcuitNumber]]=J:J,K:K,"")))</f>
        <v>0, 1, 2, 3, 4, 5, 6, 7, 8, 9</v>
      </c>
    </row>
    <row r="75" spans="1:14" x14ac:dyDescent="0.25">
      <c r="A75">
        <v>421</v>
      </c>
      <c r="B75">
        <v>0</v>
      </c>
      <c r="C75">
        <v>0</v>
      </c>
      <c r="D75" s="1" t="s">
        <v>84</v>
      </c>
      <c r="E75" s="1" t="s">
        <v>85</v>
      </c>
      <c r="F75" t="s">
        <v>15</v>
      </c>
      <c r="G75" s="1" t="s">
        <v>44</v>
      </c>
      <c r="H75">
        <v>11</v>
      </c>
      <c r="I75">
        <v>0.6</v>
      </c>
      <c r="J75" t="s">
        <v>165</v>
      </c>
      <c r="K75" t="str">
        <f>RIGHT(BOMCheck[[#This Row],[CircuitID]])</f>
        <v>3</v>
      </c>
      <c r="L75" s="1">
        <f>SUMIFS(I:I,J:J,BOMCheck[[#This Row],[CitcuitNumber]],H:H,7)</f>
        <v>10</v>
      </c>
      <c r="M75" s="1">
        <f>SUMIFS(I:I,J:J,BOMCheck[[#This Row],[CitcuitNumber]],G:G,"IEK-25-04")</f>
        <v>0</v>
      </c>
      <c r="N75" s="1" t="str" cm="1">
        <f t="array" ref="N75">_xlfn.TEXTJOIN(", ",TRUE,_xlfn.UNIQUE(IF(BOMCheck[[#This Row],[CitcuitNumber]]=J:J,K:K,"")))</f>
        <v>0, 1, 2, 3, 4, 5, 6, 7, 8, 9</v>
      </c>
    </row>
    <row r="76" spans="1:14" x14ac:dyDescent="0.25">
      <c r="A76">
        <v>421</v>
      </c>
      <c r="B76">
        <v>0</v>
      </c>
      <c r="C76">
        <v>0</v>
      </c>
      <c r="D76" s="1" t="s">
        <v>84</v>
      </c>
      <c r="E76" s="1" t="s">
        <v>85</v>
      </c>
      <c r="F76" t="s">
        <v>15</v>
      </c>
      <c r="G76" s="1" t="s">
        <v>163</v>
      </c>
      <c r="H76">
        <v>13</v>
      </c>
      <c r="I76">
        <v>3</v>
      </c>
      <c r="J76" t="s">
        <v>165</v>
      </c>
      <c r="K76" t="str">
        <f>RIGHT(BOMCheck[[#This Row],[CircuitID]])</f>
        <v>3</v>
      </c>
      <c r="L76" s="1">
        <f>SUMIFS(I:I,J:J,BOMCheck[[#This Row],[CitcuitNumber]],H:H,7)</f>
        <v>10</v>
      </c>
      <c r="M76" s="1">
        <f>SUMIFS(I:I,J:J,BOMCheck[[#This Row],[CitcuitNumber]],G:G,"IEK-25-04")</f>
        <v>0</v>
      </c>
      <c r="N76" s="1" t="str" cm="1">
        <f t="array" ref="N76">_xlfn.TEXTJOIN(", ",TRUE,_xlfn.UNIQUE(IF(BOMCheck[[#This Row],[CitcuitNumber]]=J:J,K:K,"")))</f>
        <v>0, 1, 2, 3, 4, 5, 6, 7, 8, 9</v>
      </c>
    </row>
    <row r="77" spans="1:14" x14ac:dyDescent="0.25">
      <c r="A77">
        <v>421</v>
      </c>
      <c r="B77">
        <v>0</v>
      </c>
      <c r="C77">
        <v>0</v>
      </c>
      <c r="D77" s="1" t="s">
        <v>84</v>
      </c>
      <c r="E77" s="1" t="s">
        <v>85</v>
      </c>
      <c r="F77" t="s">
        <v>15</v>
      </c>
      <c r="G77" s="1" t="s">
        <v>161</v>
      </c>
      <c r="H77">
        <v>4</v>
      </c>
      <c r="I77">
        <v>1</v>
      </c>
      <c r="J77" t="s">
        <v>165</v>
      </c>
      <c r="K77" t="str">
        <f>RIGHT(BOMCheck[[#This Row],[CircuitID]])</f>
        <v>3</v>
      </c>
      <c r="L77" s="1">
        <f>SUMIFS(I:I,J:J,BOMCheck[[#This Row],[CitcuitNumber]],H:H,7)</f>
        <v>10</v>
      </c>
      <c r="M77" s="1">
        <f>SUMIFS(I:I,J:J,BOMCheck[[#This Row],[CitcuitNumber]],G:G,"IEK-25-04")</f>
        <v>0</v>
      </c>
      <c r="N77" s="1" t="str" cm="1">
        <f t="array" ref="N77">_xlfn.TEXTJOIN(", ",TRUE,_xlfn.UNIQUE(IF(BOMCheck[[#This Row],[CitcuitNumber]]=J:J,K:K,"")))</f>
        <v>0, 1, 2, 3, 4, 5, 6, 7, 8, 9</v>
      </c>
    </row>
    <row r="78" spans="1:14" x14ac:dyDescent="0.25">
      <c r="A78">
        <v>421</v>
      </c>
      <c r="B78">
        <v>0</v>
      </c>
      <c r="C78">
        <v>0</v>
      </c>
      <c r="D78" s="1" t="s">
        <v>84</v>
      </c>
      <c r="E78" s="1" t="s">
        <v>85</v>
      </c>
      <c r="F78" t="s">
        <v>15</v>
      </c>
      <c r="G78" s="1" t="s">
        <v>164</v>
      </c>
      <c r="H78">
        <v>1</v>
      </c>
      <c r="I78">
        <v>40.68</v>
      </c>
      <c r="J78" t="s">
        <v>165</v>
      </c>
      <c r="K78" t="str">
        <f>RIGHT(BOMCheck[[#This Row],[CircuitID]])</f>
        <v>3</v>
      </c>
      <c r="L78" s="1">
        <f>SUMIFS(I:I,J:J,BOMCheck[[#This Row],[CitcuitNumber]],H:H,7)</f>
        <v>10</v>
      </c>
      <c r="M78" s="1">
        <f>SUMIFS(I:I,J:J,BOMCheck[[#This Row],[CitcuitNumber]],G:G,"IEK-25-04")</f>
        <v>0</v>
      </c>
      <c r="N78" s="1" t="str" cm="1">
        <f t="array" ref="N78">_xlfn.TEXTJOIN(", ",TRUE,_xlfn.UNIQUE(IF(BOMCheck[[#This Row],[CitcuitNumber]]=J:J,K:K,"")))</f>
        <v>0, 1, 2, 3, 4, 5, 6, 7, 8, 9</v>
      </c>
    </row>
    <row r="79" spans="1:14" x14ac:dyDescent="0.25">
      <c r="A79">
        <v>421</v>
      </c>
      <c r="B79">
        <v>0</v>
      </c>
      <c r="C79">
        <v>0</v>
      </c>
      <c r="D79" s="1" t="s">
        <v>84</v>
      </c>
      <c r="E79" s="1" t="s">
        <v>85</v>
      </c>
      <c r="F79" t="s">
        <v>15</v>
      </c>
      <c r="G79" s="1" t="s">
        <v>45</v>
      </c>
      <c r="H79">
        <v>10</v>
      </c>
      <c r="I79">
        <v>1</v>
      </c>
      <c r="J79" t="s">
        <v>165</v>
      </c>
      <c r="K79" t="str">
        <f>RIGHT(BOMCheck[[#This Row],[CircuitID]])</f>
        <v>3</v>
      </c>
      <c r="L79" s="1">
        <f>SUMIFS(I:I,J:J,BOMCheck[[#This Row],[CitcuitNumber]],H:H,7)</f>
        <v>10</v>
      </c>
      <c r="M79" s="1">
        <f>SUMIFS(I:I,J:J,BOMCheck[[#This Row],[CitcuitNumber]],G:G,"IEK-25-04")</f>
        <v>0</v>
      </c>
      <c r="N79" s="1" t="str" cm="1">
        <f t="array" ref="N79">_xlfn.TEXTJOIN(", ",TRUE,_xlfn.UNIQUE(IF(BOMCheck[[#This Row],[CitcuitNumber]]=J:J,K:K,"")))</f>
        <v>0, 1, 2, 3, 4, 5, 6, 7, 8, 9</v>
      </c>
    </row>
    <row r="80" spans="1:14" x14ac:dyDescent="0.25">
      <c r="A80">
        <v>422</v>
      </c>
      <c r="B80">
        <v>0</v>
      </c>
      <c r="C80">
        <v>0</v>
      </c>
      <c r="D80" s="1" t="s">
        <v>86</v>
      </c>
      <c r="E80" s="1" t="s">
        <v>87</v>
      </c>
      <c r="F80" t="s">
        <v>15</v>
      </c>
      <c r="G80" s="1" t="s">
        <v>162</v>
      </c>
      <c r="H80">
        <v>7</v>
      </c>
      <c r="I80">
        <v>1</v>
      </c>
      <c r="J80" t="s">
        <v>165</v>
      </c>
      <c r="K80" t="str">
        <f>RIGHT(BOMCheck[[#This Row],[CircuitID]])</f>
        <v>4</v>
      </c>
      <c r="L80" s="1">
        <f>SUMIFS(I:I,J:J,BOMCheck[[#This Row],[CitcuitNumber]],H:H,7)</f>
        <v>10</v>
      </c>
      <c r="M80" s="1">
        <f>SUMIFS(I:I,J:J,BOMCheck[[#This Row],[CitcuitNumber]],G:G,"IEK-25-04")</f>
        <v>0</v>
      </c>
      <c r="N80" s="1" t="str" cm="1">
        <f t="array" ref="N80">_xlfn.TEXTJOIN(", ",TRUE,_xlfn.UNIQUE(IF(BOMCheck[[#This Row],[CitcuitNumber]]=J:J,K:K,"")))</f>
        <v>0, 1, 2, 3, 4, 5, 6, 7, 8, 9</v>
      </c>
    </row>
    <row r="81" spans="1:14" x14ac:dyDescent="0.25">
      <c r="A81">
        <v>422</v>
      </c>
      <c r="B81">
        <v>0</v>
      </c>
      <c r="C81">
        <v>0</v>
      </c>
      <c r="D81" s="1" t="s">
        <v>86</v>
      </c>
      <c r="E81" s="1" t="s">
        <v>87</v>
      </c>
      <c r="F81" t="s">
        <v>15</v>
      </c>
      <c r="G81" s="1" t="s">
        <v>44</v>
      </c>
      <c r="H81">
        <v>11</v>
      </c>
      <c r="I81">
        <v>0.6</v>
      </c>
      <c r="J81" t="s">
        <v>165</v>
      </c>
      <c r="K81" t="str">
        <f>RIGHT(BOMCheck[[#This Row],[CircuitID]])</f>
        <v>4</v>
      </c>
      <c r="L81" s="1">
        <f>SUMIFS(I:I,J:J,BOMCheck[[#This Row],[CitcuitNumber]],H:H,7)</f>
        <v>10</v>
      </c>
      <c r="M81" s="1">
        <f>SUMIFS(I:I,J:J,BOMCheck[[#This Row],[CitcuitNumber]],G:G,"IEK-25-04")</f>
        <v>0</v>
      </c>
      <c r="N81" s="1" t="str" cm="1">
        <f t="array" ref="N81">_xlfn.TEXTJOIN(", ",TRUE,_xlfn.UNIQUE(IF(BOMCheck[[#This Row],[CitcuitNumber]]=J:J,K:K,"")))</f>
        <v>0, 1, 2, 3, 4, 5, 6, 7, 8, 9</v>
      </c>
    </row>
    <row r="82" spans="1:14" x14ac:dyDescent="0.25">
      <c r="A82">
        <v>422</v>
      </c>
      <c r="B82">
        <v>0</v>
      </c>
      <c r="C82">
        <v>0</v>
      </c>
      <c r="D82" s="1" t="s">
        <v>86</v>
      </c>
      <c r="E82" s="1" t="s">
        <v>87</v>
      </c>
      <c r="F82" t="s">
        <v>15</v>
      </c>
      <c r="G82" s="1" t="s">
        <v>163</v>
      </c>
      <c r="H82">
        <v>13</v>
      </c>
      <c r="I82">
        <v>3</v>
      </c>
      <c r="J82" t="s">
        <v>165</v>
      </c>
      <c r="K82" t="str">
        <f>RIGHT(BOMCheck[[#This Row],[CircuitID]])</f>
        <v>4</v>
      </c>
      <c r="L82" s="1">
        <f>SUMIFS(I:I,J:J,BOMCheck[[#This Row],[CitcuitNumber]],H:H,7)</f>
        <v>10</v>
      </c>
      <c r="M82" s="1">
        <f>SUMIFS(I:I,J:J,BOMCheck[[#This Row],[CitcuitNumber]],G:G,"IEK-25-04")</f>
        <v>0</v>
      </c>
      <c r="N82" s="1" t="str" cm="1">
        <f t="array" ref="N82">_xlfn.TEXTJOIN(", ",TRUE,_xlfn.UNIQUE(IF(BOMCheck[[#This Row],[CitcuitNumber]]=J:J,K:K,"")))</f>
        <v>0, 1, 2, 3, 4, 5, 6, 7, 8, 9</v>
      </c>
    </row>
    <row r="83" spans="1:14" x14ac:dyDescent="0.25">
      <c r="A83">
        <v>422</v>
      </c>
      <c r="B83">
        <v>0</v>
      </c>
      <c r="C83">
        <v>0</v>
      </c>
      <c r="D83" s="1" t="s">
        <v>86</v>
      </c>
      <c r="E83" s="1" t="s">
        <v>87</v>
      </c>
      <c r="F83" t="s">
        <v>15</v>
      </c>
      <c r="G83" s="1" t="s">
        <v>45</v>
      </c>
      <c r="H83">
        <v>10</v>
      </c>
      <c r="I83">
        <v>1</v>
      </c>
      <c r="J83" t="s">
        <v>165</v>
      </c>
      <c r="K83" t="str">
        <f>RIGHT(BOMCheck[[#This Row],[CircuitID]])</f>
        <v>4</v>
      </c>
      <c r="L83" s="1">
        <f>SUMIFS(I:I,J:J,BOMCheck[[#This Row],[CitcuitNumber]],H:H,7)</f>
        <v>10</v>
      </c>
      <c r="M83" s="1">
        <f>SUMIFS(I:I,J:J,BOMCheck[[#This Row],[CitcuitNumber]],G:G,"IEK-25-04")</f>
        <v>0</v>
      </c>
      <c r="N83" s="1" t="str" cm="1">
        <f t="array" ref="N83">_xlfn.TEXTJOIN(", ",TRUE,_xlfn.UNIQUE(IF(BOMCheck[[#This Row],[CitcuitNumber]]=J:J,K:K,"")))</f>
        <v>0, 1, 2, 3, 4, 5, 6, 7, 8, 9</v>
      </c>
    </row>
    <row r="84" spans="1:14" x14ac:dyDescent="0.25">
      <c r="A84">
        <v>422</v>
      </c>
      <c r="B84">
        <v>0</v>
      </c>
      <c r="C84">
        <v>0</v>
      </c>
      <c r="D84" s="1" t="s">
        <v>86</v>
      </c>
      <c r="E84" s="1" t="s">
        <v>87</v>
      </c>
      <c r="F84" t="s">
        <v>15</v>
      </c>
      <c r="G84" s="1" t="s">
        <v>164</v>
      </c>
      <c r="H84">
        <v>1</v>
      </c>
      <c r="I84">
        <v>40.68</v>
      </c>
      <c r="J84" t="s">
        <v>165</v>
      </c>
      <c r="K84" t="str">
        <f>RIGHT(BOMCheck[[#This Row],[CircuitID]])</f>
        <v>4</v>
      </c>
      <c r="L84" s="1">
        <f>SUMIFS(I:I,J:J,BOMCheck[[#This Row],[CitcuitNumber]],H:H,7)</f>
        <v>10</v>
      </c>
      <c r="M84" s="1">
        <f>SUMIFS(I:I,J:J,BOMCheck[[#This Row],[CitcuitNumber]],G:G,"IEK-25-04")</f>
        <v>0</v>
      </c>
      <c r="N84" s="1" t="str" cm="1">
        <f t="array" ref="N84">_xlfn.TEXTJOIN(", ",TRUE,_xlfn.UNIQUE(IF(BOMCheck[[#This Row],[CitcuitNumber]]=J:J,K:K,"")))</f>
        <v>0, 1, 2, 3, 4, 5, 6, 7, 8, 9</v>
      </c>
    </row>
    <row r="85" spans="1:14" x14ac:dyDescent="0.25">
      <c r="A85">
        <v>422</v>
      </c>
      <c r="B85">
        <v>0</v>
      </c>
      <c r="C85">
        <v>0</v>
      </c>
      <c r="D85" s="1" t="s">
        <v>86</v>
      </c>
      <c r="E85" s="1" t="s">
        <v>87</v>
      </c>
      <c r="F85" t="s">
        <v>15</v>
      </c>
      <c r="G85" s="1" t="s">
        <v>161</v>
      </c>
      <c r="H85">
        <v>4</v>
      </c>
      <c r="I85">
        <v>1</v>
      </c>
      <c r="J85" t="s">
        <v>165</v>
      </c>
      <c r="K85" t="str">
        <f>RIGHT(BOMCheck[[#This Row],[CircuitID]])</f>
        <v>4</v>
      </c>
      <c r="L85" s="1">
        <f>SUMIFS(I:I,J:J,BOMCheck[[#This Row],[CitcuitNumber]],H:H,7)</f>
        <v>10</v>
      </c>
      <c r="M85" s="1">
        <f>SUMIFS(I:I,J:J,BOMCheck[[#This Row],[CitcuitNumber]],G:G,"IEK-25-04")</f>
        <v>0</v>
      </c>
      <c r="N85" s="1" t="str" cm="1">
        <f t="array" ref="N85">_xlfn.TEXTJOIN(", ",TRUE,_xlfn.UNIQUE(IF(BOMCheck[[#This Row],[CitcuitNumber]]=J:J,K:K,"")))</f>
        <v>0, 1, 2, 3, 4, 5, 6, 7, 8, 9</v>
      </c>
    </row>
    <row r="86" spans="1:14" x14ac:dyDescent="0.25">
      <c r="A86">
        <v>423</v>
      </c>
      <c r="B86">
        <v>0</v>
      </c>
      <c r="C86">
        <v>0</v>
      </c>
      <c r="D86" s="1" t="s">
        <v>88</v>
      </c>
      <c r="E86" s="1" t="s">
        <v>89</v>
      </c>
      <c r="F86" t="s">
        <v>15</v>
      </c>
      <c r="G86" s="1" t="s">
        <v>162</v>
      </c>
      <c r="H86">
        <v>7</v>
      </c>
      <c r="I86">
        <v>1</v>
      </c>
      <c r="J86" t="s">
        <v>165</v>
      </c>
      <c r="K86" t="str">
        <f>RIGHT(BOMCheck[[#This Row],[CircuitID]])</f>
        <v>5</v>
      </c>
      <c r="L86" s="1">
        <f>SUMIFS(I:I,J:J,BOMCheck[[#This Row],[CitcuitNumber]],H:H,7)</f>
        <v>10</v>
      </c>
      <c r="M86" s="1">
        <f>SUMIFS(I:I,J:J,BOMCheck[[#This Row],[CitcuitNumber]],G:G,"IEK-25-04")</f>
        <v>0</v>
      </c>
      <c r="N86" s="1" t="str" cm="1">
        <f t="array" ref="N86">_xlfn.TEXTJOIN(", ",TRUE,_xlfn.UNIQUE(IF(BOMCheck[[#This Row],[CitcuitNumber]]=J:J,K:K,"")))</f>
        <v>0, 1, 2, 3, 4, 5, 6, 7, 8, 9</v>
      </c>
    </row>
    <row r="87" spans="1:14" x14ac:dyDescent="0.25">
      <c r="A87">
        <v>423</v>
      </c>
      <c r="B87">
        <v>0</v>
      </c>
      <c r="C87">
        <v>0</v>
      </c>
      <c r="D87" s="1" t="s">
        <v>88</v>
      </c>
      <c r="E87" s="1" t="s">
        <v>89</v>
      </c>
      <c r="F87" t="s">
        <v>15</v>
      </c>
      <c r="G87" s="1" t="s">
        <v>44</v>
      </c>
      <c r="H87">
        <v>11</v>
      </c>
      <c r="I87">
        <v>0.6</v>
      </c>
      <c r="J87" t="s">
        <v>165</v>
      </c>
      <c r="K87" t="str">
        <f>RIGHT(BOMCheck[[#This Row],[CircuitID]])</f>
        <v>5</v>
      </c>
      <c r="L87" s="1">
        <f>SUMIFS(I:I,J:J,BOMCheck[[#This Row],[CitcuitNumber]],H:H,7)</f>
        <v>10</v>
      </c>
      <c r="M87" s="1">
        <f>SUMIFS(I:I,J:J,BOMCheck[[#This Row],[CitcuitNumber]],G:G,"IEK-25-04")</f>
        <v>0</v>
      </c>
      <c r="N87" s="1" t="str" cm="1">
        <f t="array" ref="N87">_xlfn.TEXTJOIN(", ",TRUE,_xlfn.UNIQUE(IF(BOMCheck[[#This Row],[CitcuitNumber]]=J:J,K:K,"")))</f>
        <v>0, 1, 2, 3, 4, 5, 6, 7, 8, 9</v>
      </c>
    </row>
    <row r="88" spans="1:14" x14ac:dyDescent="0.25">
      <c r="A88">
        <v>423</v>
      </c>
      <c r="B88">
        <v>0</v>
      </c>
      <c r="C88">
        <v>0</v>
      </c>
      <c r="D88" s="1" t="s">
        <v>88</v>
      </c>
      <c r="E88" s="1" t="s">
        <v>89</v>
      </c>
      <c r="F88" t="s">
        <v>15</v>
      </c>
      <c r="G88" s="1" t="s">
        <v>163</v>
      </c>
      <c r="H88">
        <v>13</v>
      </c>
      <c r="I88">
        <v>3</v>
      </c>
      <c r="J88" t="s">
        <v>165</v>
      </c>
      <c r="K88" t="str">
        <f>RIGHT(BOMCheck[[#This Row],[CircuitID]])</f>
        <v>5</v>
      </c>
      <c r="L88" s="1">
        <f>SUMIFS(I:I,J:J,BOMCheck[[#This Row],[CitcuitNumber]],H:H,7)</f>
        <v>10</v>
      </c>
      <c r="M88" s="1">
        <f>SUMIFS(I:I,J:J,BOMCheck[[#This Row],[CitcuitNumber]],G:G,"IEK-25-04")</f>
        <v>0</v>
      </c>
      <c r="N88" s="1" t="str" cm="1">
        <f t="array" ref="N88">_xlfn.TEXTJOIN(", ",TRUE,_xlfn.UNIQUE(IF(BOMCheck[[#This Row],[CitcuitNumber]]=J:J,K:K,"")))</f>
        <v>0, 1, 2, 3, 4, 5, 6, 7, 8, 9</v>
      </c>
    </row>
    <row r="89" spans="1:14" x14ac:dyDescent="0.25">
      <c r="A89">
        <v>423</v>
      </c>
      <c r="B89">
        <v>0</v>
      </c>
      <c r="C89">
        <v>0</v>
      </c>
      <c r="D89" s="1" t="s">
        <v>88</v>
      </c>
      <c r="E89" s="1" t="s">
        <v>89</v>
      </c>
      <c r="F89" t="s">
        <v>15</v>
      </c>
      <c r="G89" s="1" t="s">
        <v>45</v>
      </c>
      <c r="H89">
        <v>10</v>
      </c>
      <c r="I89">
        <v>1</v>
      </c>
      <c r="J89" t="s">
        <v>165</v>
      </c>
      <c r="K89" t="str">
        <f>RIGHT(BOMCheck[[#This Row],[CircuitID]])</f>
        <v>5</v>
      </c>
      <c r="L89" s="1">
        <f>SUMIFS(I:I,J:J,BOMCheck[[#This Row],[CitcuitNumber]],H:H,7)</f>
        <v>10</v>
      </c>
      <c r="M89" s="1">
        <f>SUMIFS(I:I,J:J,BOMCheck[[#This Row],[CitcuitNumber]],G:G,"IEK-25-04")</f>
        <v>0</v>
      </c>
      <c r="N89" s="1" t="str" cm="1">
        <f t="array" ref="N89">_xlfn.TEXTJOIN(", ",TRUE,_xlfn.UNIQUE(IF(BOMCheck[[#This Row],[CitcuitNumber]]=J:J,K:K,"")))</f>
        <v>0, 1, 2, 3, 4, 5, 6, 7, 8, 9</v>
      </c>
    </row>
    <row r="90" spans="1:14" x14ac:dyDescent="0.25">
      <c r="A90">
        <v>423</v>
      </c>
      <c r="B90">
        <v>0</v>
      </c>
      <c r="C90">
        <v>0</v>
      </c>
      <c r="D90" s="1" t="s">
        <v>88</v>
      </c>
      <c r="E90" s="1" t="s">
        <v>89</v>
      </c>
      <c r="F90" t="s">
        <v>15</v>
      </c>
      <c r="G90" s="1" t="s">
        <v>164</v>
      </c>
      <c r="H90">
        <v>1</v>
      </c>
      <c r="I90">
        <v>40.68</v>
      </c>
      <c r="J90" t="s">
        <v>165</v>
      </c>
      <c r="K90" t="str">
        <f>RIGHT(BOMCheck[[#This Row],[CircuitID]])</f>
        <v>5</v>
      </c>
      <c r="L90" s="1">
        <f>SUMIFS(I:I,J:J,BOMCheck[[#This Row],[CitcuitNumber]],H:H,7)</f>
        <v>10</v>
      </c>
      <c r="M90" s="1">
        <f>SUMIFS(I:I,J:J,BOMCheck[[#This Row],[CitcuitNumber]],G:G,"IEK-25-04")</f>
        <v>0</v>
      </c>
      <c r="N90" s="1" t="str" cm="1">
        <f t="array" ref="N90">_xlfn.TEXTJOIN(", ",TRUE,_xlfn.UNIQUE(IF(BOMCheck[[#This Row],[CitcuitNumber]]=J:J,K:K,"")))</f>
        <v>0, 1, 2, 3, 4, 5, 6, 7, 8, 9</v>
      </c>
    </row>
    <row r="91" spans="1:14" x14ac:dyDescent="0.25">
      <c r="A91">
        <v>423</v>
      </c>
      <c r="B91">
        <v>0</v>
      </c>
      <c r="C91">
        <v>0</v>
      </c>
      <c r="D91" s="1" t="s">
        <v>88</v>
      </c>
      <c r="E91" s="1" t="s">
        <v>89</v>
      </c>
      <c r="F91" t="s">
        <v>15</v>
      </c>
      <c r="G91" s="1" t="s">
        <v>161</v>
      </c>
      <c r="H91">
        <v>4</v>
      </c>
      <c r="I91">
        <v>1</v>
      </c>
      <c r="J91" t="s">
        <v>165</v>
      </c>
      <c r="K91" t="str">
        <f>RIGHT(BOMCheck[[#This Row],[CircuitID]])</f>
        <v>5</v>
      </c>
      <c r="L91" s="1">
        <f>SUMIFS(I:I,J:J,BOMCheck[[#This Row],[CitcuitNumber]],H:H,7)</f>
        <v>10</v>
      </c>
      <c r="M91" s="1">
        <f>SUMIFS(I:I,J:J,BOMCheck[[#This Row],[CitcuitNumber]],G:G,"IEK-25-04")</f>
        <v>0</v>
      </c>
      <c r="N91" s="1" t="str" cm="1">
        <f t="array" ref="N91">_xlfn.TEXTJOIN(", ",TRUE,_xlfn.UNIQUE(IF(BOMCheck[[#This Row],[CitcuitNumber]]=J:J,K:K,"")))</f>
        <v>0, 1, 2, 3, 4, 5, 6, 7, 8, 9</v>
      </c>
    </row>
    <row r="92" spans="1:14" x14ac:dyDescent="0.25">
      <c r="A92">
        <v>424</v>
      </c>
      <c r="B92">
        <v>0</v>
      </c>
      <c r="C92">
        <v>0</v>
      </c>
      <c r="D92" s="1" t="s">
        <v>90</v>
      </c>
      <c r="E92" s="1" t="s">
        <v>91</v>
      </c>
      <c r="F92" t="s">
        <v>15</v>
      </c>
      <c r="G92" s="1" t="s">
        <v>161</v>
      </c>
      <c r="H92">
        <v>4</v>
      </c>
      <c r="I92">
        <v>1</v>
      </c>
      <c r="J92" t="s">
        <v>165</v>
      </c>
      <c r="K92" t="str">
        <f>RIGHT(BOMCheck[[#This Row],[CircuitID]])</f>
        <v>6</v>
      </c>
      <c r="L92" s="1">
        <f>SUMIFS(I:I,J:J,BOMCheck[[#This Row],[CitcuitNumber]],H:H,7)</f>
        <v>10</v>
      </c>
      <c r="M92" s="1">
        <f>SUMIFS(I:I,J:J,BOMCheck[[#This Row],[CitcuitNumber]],G:G,"IEK-25-04")</f>
        <v>0</v>
      </c>
      <c r="N92" s="1" t="str" cm="1">
        <f t="array" ref="N92">_xlfn.TEXTJOIN(", ",TRUE,_xlfn.UNIQUE(IF(BOMCheck[[#This Row],[CitcuitNumber]]=J:J,K:K,"")))</f>
        <v>0, 1, 2, 3, 4, 5, 6, 7, 8, 9</v>
      </c>
    </row>
    <row r="93" spans="1:14" x14ac:dyDescent="0.25">
      <c r="A93">
        <v>424</v>
      </c>
      <c r="B93">
        <v>0</v>
      </c>
      <c r="C93">
        <v>0</v>
      </c>
      <c r="D93" s="1" t="s">
        <v>90</v>
      </c>
      <c r="E93" s="1" t="s">
        <v>91</v>
      </c>
      <c r="F93" t="s">
        <v>15</v>
      </c>
      <c r="G93" s="1" t="s">
        <v>163</v>
      </c>
      <c r="H93">
        <v>13</v>
      </c>
      <c r="I93">
        <v>3</v>
      </c>
      <c r="J93" t="s">
        <v>165</v>
      </c>
      <c r="K93" t="str">
        <f>RIGHT(BOMCheck[[#This Row],[CircuitID]])</f>
        <v>6</v>
      </c>
      <c r="L93" s="1">
        <f>SUMIFS(I:I,J:J,BOMCheck[[#This Row],[CitcuitNumber]],H:H,7)</f>
        <v>10</v>
      </c>
      <c r="M93" s="1">
        <f>SUMIFS(I:I,J:J,BOMCheck[[#This Row],[CitcuitNumber]],G:G,"IEK-25-04")</f>
        <v>0</v>
      </c>
      <c r="N93" s="1" t="str" cm="1">
        <f t="array" ref="N93">_xlfn.TEXTJOIN(", ",TRUE,_xlfn.UNIQUE(IF(BOMCheck[[#This Row],[CitcuitNumber]]=J:J,K:K,"")))</f>
        <v>0, 1, 2, 3, 4, 5, 6, 7, 8, 9</v>
      </c>
    </row>
    <row r="94" spans="1:14" x14ac:dyDescent="0.25">
      <c r="A94">
        <v>424</v>
      </c>
      <c r="B94">
        <v>0</v>
      </c>
      <c r="C94">
        <v>0</v>
      </c>
      <c r="D94" s="1" t="s">
        <v>90</v>
      </c>
      <c r="E94" s="1" t="s">
        <v>91</v>
      </c>
      <c r="F94" t="s">
        <v>15</v>
      </c>
      <c r="G94" s="1" t="s">
        <v>44</v>
      </c>
      <c r="H94">
        <v>11</v>
      </c>
      <c r="I94">
        <v>0.6</v>
      </c>
      <c r="J94" t="s">
        <v>165</v>
      </c>
      <c r="K94" t="str">
        <f>RIGHT(BOMCheck[[#This Row],[CircuitID]])</f>
        <v>6</v>
      </c>
      <c r="L94" s="1">
        <f>SUMIFS(I:I,J:J,BOMCheck[[#This Row],[CitcuitNumber]],H:H,7)</f>
        <v>10</v>
      </c>
      <c r="M94" s="1">
        <f>SUMIFS(I:I,J:J,BOMCheck[[#This Row],[CitcuitNumber]],G:G,"IEK-25-04")</f>
        <v>0</v>
      </c>
      <c r="N94" s="1" t="str" cm="1">
        <f t="array" ref="N94">_xlfn.TEXTJOIN(", ",TRUE,_xlfn.UNIQUE(IF(BOMCheck[[#This Row],[CitcuitNumber]]=J:J,K:K,"")))</f>
        <v>0, 1, 2, 3, 4, 5, 6, 7, 8, 9</v>
      </c>
    </row>
    <row r="95" spans="1:14" x14ac:dyDescent="0.25">
      <c r="A95">
        <v>424</v>
      </c>
      <c r="B95">
        <v>0</v>
      </c>
      <c r="C95">
        <v>0</v>
      </c>
      <c r="D95" s="1" t="s">
        <v>90</v>
      </c>
      <c r="E95" s="1" t="s">
        <v>91</v>
      </c>
      <c r="F95" t="s">
        <v>15</v>
      </c>
      <c r="G95" s="1" t="s">
        <v>162</v>
      </c>
      <c r="H95">
        <v>7</v>
      </c>
      <c r="I95">
        <v>1</v>
      </c>
      <c r="J95" t="s">
        <v>165</v>
      </c>
      <c r="K95" t="str">
        <f>RIGHT(BOMCheck[[#This Row],[CircuitID]])</f>
        <v>6</v>
      </c>
      <c r="L95" s="1">
        <f>SUMIFS(I:I,J:J,BOMCheck[[#This Row],[CitcuitNumber]],H:H,7)</f>
        <v>10</v>
      </c>
      <c r="M95" s="1">
        <f>SUMIFS(I:I,J:J,BOMCheck[[#This Row],[CitcuitNumber]],G:G,"IEK-25-04")</f>
        <v>0</v>
      </c>
      <c r="N95" s="1" t="str" cm="1">
        <f t="array" ref="N95">_xlfn.TEXTJOIN(", ",TRUE,_xlfn.UNIQUE(IF(BOMCheck[[#This Row],[CitcuitNumber]]=J:J,K:K,"")))</f>
        <v>0, 1, 2, 3, 4, 5, 6, 7, 8, 9</v>
      </c>
    </row>
    <row r="96" spans="1:14" x14ac:dyDescent="0.25">
      <c r="A96">
        <v>424</v>
      </c>
      <c r="B96">
        <v>0</v>
      </c>
      <c r="C96">
        <v>0</v>
      </c>
      <c r="D96" s="1" t="s">
        <v>90</v>
      </c>
      <c r="E96" s="1" t="s">
        <v>91</v>
      </c>
      <c r="F96" t="s">
        <v>15</v>
      </c>
      <c r="G96" s="1" t="s">
        <v>45</v>
      </c>
      <c r="H96">
        <v>10</v>
      </c>
      <c r="I96">
        <v>1</v>
      </c>
      <c r="J96" t="s">
        <v>165</v>
      </c>
      <c r="K96" t="str">
        <f>RIGHT(BOMCheck[[#This Row],[CircuitID]])</f>
        <v>6</v>
      </c>
      <c r="L96" s="1">
        <f>SUMIFS(I:I,J:J,BOMCheck[[#This Row],[CitcuitNumber]],H:H,7)</f>
        <v>10</v>
      </c>
      <c r="M96" s="1">
        <f>SUMIFS(I:I,J:J,BOMCheck[[#This Row],[CitcuitNumber]],G:G,"IEK-25-04")</f>
        <v>0</v>
      </c>
      <c r="N96" s="1" t="str" cm="1">
        <f t="array" ref="N96">_xlfn.TEXTJOIN(", ",TRUE,_xlfn.UNIQUE(IF(BOMCheck[[#This Row],[CitcuitNumber]]=J:J,K:K,"")))</f>
        <v>0, 1, 2, 3, 4, 5, 6, 7, 8, 9</v>
      </c>
    </row>
    <row r="97" spans="1:14" x14ac:dyDescent="0.25">
      <c r="A97">
        <v>424</v>
      </c>
      <c r="B97">
        <v>0</v>
      </c>
      <c r="C97">
        <v>0</v>
      </c>
      <c r="D97" s="1" t="s">
        <v>90</v>
      </c>
      <c r="E97" s="1" t="s">
        <v>91</v>
      </c>
      <c r="F97" t="s">
        <v>15</v>
      </c>
      <c r="G97" s="1" t="s">
        <v>164</v>
      </c>
      <c r="H97">
        <v>1</v>
      </c>
      <c r="I97">
        <v>40.68</v>
      </c>
      <c r="J97" t="s">
        <v>165</v>
      </c>
      <c r="K97" t="str">
        <f>RIGHT(BOMCheck[[#This Row],[CircuitID]])</f>
        <v>6</v>
      </c>
      <c r="L97" s="1">
        <f>SUMIFS(I:I,J:J,BOMCheck[[#This Row],[CitcuitNumber]],H:H,7)</f>
        <v>10</v>
      </c>
      <c r="M97" s="1">
        <f>SUMIFS(I:I,J:J,BOMCheck[[#This Row],[CitcuitNumber]],G:G,"IEK-25-04")</f>
        <v>0</v>
      </c>
      <c r="N97" s="1" t="str" cm="1">
        <f t="array" ref="N97">_xlfn.TEXTJOIN(", ",TRUE,_xlfn.UNIQUE(IF(BOMCheck[[#This Row],[CitcuitNumber]]=J:J,K:K,"")))</f>
        <v>0, 1, 2, 3, 4, 5, 6, 7, 8, 9</v>
      </c>
    </row>
    <row r="98" spans="1:14" x14ac:dyDescent="0.25">
      <c r="A98">
        <v>425</v>
      </c>
      <c r="B98">
        <v>0</v>
      </c>
      <c r="C98">
        <v>0</v>
      </c>
      <c r="D98" s="1" t="s">
        <v>92</v>
      </c>
      <c r="E98" s="1" t="s">
        <v>93</v>
      </c>
      <c r="F98" t="s">
        <v>15</v>
      </c>
      <c r="G98" s="1" t="s">
        <v>44</v>
      </c>
      <c r="H98">
        <v>11</v>
      </c>
      <c r="I98">
        <v>0.6</v>
      </c>
      <c r="J98" t="s">
        <v>165</v>
      </c>
      <c r="K98" t="str">
        <f>RIGHT(BOMCheck[[#This Row],[CircuitID]])</f>
        <v>7</v>
      </c>
      <c r="L98" s="1">
        <f>SUMIFS(I:I,J:J,BOMCheck[[#This Row],[CitcuitNumber]],H:H,7)</f>
        <v>10</v>
      </c>
      <c r="M98" s="1">
        <f>SUMIFS(I:I,J:J,BOMCheck[[#This Row],[CitcuitNumber]],G:G,"IEK-25-04")</f>
        <v>0</v>
      </c>
      <c r="N98" s="1" t="str" cm="1">
        <f t="array" ref="N98">_xlfn.TEXTJOIN(", ",TRUE,_xlfn.UNIQUE(IF(BOMCheck[[#This Row],[CitcuitNumber]]=J:J,K:K,"")))</f>
        <v>0, 1, 2, 3, 4, 5, 6, 7, 8, 9</v>
      </c>
    </row>
    <row r="99" spans="1:14" x14ac:dyDescent="0.25">
      <c r="A99">
        <v>425</v>
      </c>
      <c r="B99">
        <v>0</v>
      </c>
      <c r="C99">
        <v>0</v>
      </c>
      <c r="D99" s="1" t="s">
        <v>92</v>
      </c>
      <c r="E99" s="1" t="s">
        <v>93</v>
      </c>
      <c r="F99" t="s">
        <v>15</v>
      </c>
      <c r="G99" s="1" t="s">
        <v>163</v>
      </c>
      <c r="H99">
        <v>13</v>
      </c>
      <c r="I99">
        <v>3</v>
      </c>
      <c r="J99" t="s">
        <v>165</v>
      </c>
      <c r="K99" t="str">
        <f>RIGHT(BOMCheck[[#This Row],[CircuitID]])</f>
        <v>7</v>
      </c>
      <c r="L99" s="1">
        <f>SUMIFS(I:I,J:J,BOMCheck[[#This Row],[CitcuitNumber]],H:H,7)</f>
        <v>10</v>
      </c>
      <c r="M99" s="1">
        <f>SUMIFS(I:I,J:J,BOMCheck[[#This Row],[CitcuitNumber]],G:G,"IEK-25-04")</f>
        <v>0</v>
      </c>
      <c r="N99" s="1" t="str" cm="1">
        <f t="array" ref="N99">_xlfn.TEXTJOIN(", ",TRUE,_xlfn.UNIQUE(IF(BOMCheck[[#This Row],[CitcuitNumber]]=J:J,K:K,"")))</f>
        <v>0, 1, 2, 3, 4, 5, 6, 7, 8, 9</v>
      </c>
    </row>
    <row r="100" spans="1:14" x14ac:dyDescent="0.25">
      <c r="A100">
        <v>425</v>
      </c>
      <c r="B100">
        <v>0</v>
      </c>
      <c r="C100">
        <v>0</v>
      </c>
      <c r="D100" s="1" t="s">
        <v>92</v>
      </c>
      <c r="E100" s="1" t="s">
        <v>93</v>
      </c>
      <c r="F100" t="s">
        <v>15</v>
      </c>
      <c r="G100" s="1" t="s">
        <v>162</v>
      </c>
      <c r="H100">
        <v>7</v>
      </c>
      <c r="I100">
        <v>1</v>
      </c>
      <c r="J100" t="s">
        <v>165</v>
      </c>
      <c r="K100" t="str">
        <f>RIGHT(BOMCheck[[#This Row],[CircuitID]])</f>
        <v>7</v>
      </c>
      <c r="L100" s="1">
        <f>SUMIFS(I:I,J:J,BOMCheck[[#This Row],[CitcuitNumber]],H:H,7)</f>
        <v>10</v>
      </c>
      <c r="M100" s="1">
        <f>SUMIFS(I:I,J:J,BOMCheck[[#This Row],[CitcuitNumber]],G:G,"IEK-25-04")</f>
        <v>0</v>
      </c>
      <c r="N100" s="1" t="str" cm="1">
        <f t="array" ref="N100">_xlfn.TEXTJOIN(", ",TRUE,_xlfn.UNIQUE(IF(BOMCheck[[#This Row],[CitcuitNumber]]=J:J,K:K,"")))</f>
        <v>0, 1, 2, 3, 4, 5, 6, 7, 8, 9</v>
      </c>
    </row>
    <row r="101" spans="1:14" x14ac:dyDescent="0.25">
      <c r="A101">
        <v>425</v>
      </c>
      <c r="B101">
        <v>0</v>
      </c>
      <c r="C101">
        <v>0</v>
      </c>
      <c r="D101" s="1" t="s">
        <v>92</v>
      </c>
      <c r="E101" s="1" t="s">
        <v>93</v>
      </c>
      <c r="F101" t="s">
        <v>15</v>
      </c>
      <c r="G101" s="1" t="s">
        <v>45</v>
      </c>
      <c r="H101">
        <v>10</v>
      </c>
      <c r="I101">
        <v>1</v>
      </c>
      <c r="J101" t="s">
        <v>165</v>
      </c>
      <c r="K101" t="str">
        <f>RIGHT(BOMCheck[[#This Row],[CircuitID]])</f>
        <v>7</v>
      </c>
      <c r="L101" s="1">
        <f>SUMIFS(I:I,J:J,BOMCheck[[#This Row],[CitcuitNumber]],H:H,7)</f>
        <v>10</v>
      </c>
      <c r="M101" s="1">
        <f>SUMIFS(I:I,J:J,BOMCheck[[#This Row],[CitcuitNumber]],G:G,"IEK-25-04")</f>
        <v>0</v>
      </c>
      <c r="N101" s="1" t="str" cm="1">
        <f t="array" ref="N101">_xlfn.TEXTJOIN(", ",TRUE,_xlfn.UNIQUE(IF(BOMCheck[[#This Row],[CitcuitNumber]]=J:J,K:K,"")))</f>
        <v>0, 1, 2, 3, 4, 5, 6, 7, 8, 9</v>
      </c>
    </row>
    <row r="102" spans="1:14" x14ac:dyDescent="0.25">
      <c r="A102">
        <v>425</v>
      </c>
      <c r="B102">
        <v>0</v>
      </c>
      <c r="C102">
        <v>0</v>
      </c>
      <c r="D102" s="1" t="s">
        <v>92</v>
      </c>
      <c r="E102" s="1" t="s">
        <v>93</v>
      </c>
      <c r="F102" t="s">
        <v>15</v>
      </c>
      <c r="G102" s="1" t="s">
        <v>164</v>
      </c>
      <c r="H102">
        <v>1</v>
      </c>
      <c r="I102">
        <v>47.57</v>
      </c>
      <c r="J102" t="s">
        <v>165</v>
      </c>
      <c r="K102" t="str">
        <f>RIGHT(BOMCheck[[#This Row],[CircuitID]])</f>
        <v>7</v>
      </c>
      <c r="L102" s="1">
        <f>SUMIFS(I:I,J:J,BOMCheck[[#This Row],[CitcuitNumber]],H:H,7)</f>
        <v>10</v>
      </c>
      <c r="M102" s="1">
        <f>SUMIFS(I:I,J:J,BOMCheck[[#This Row],[CitcuitNumber]],G:G,"IEK-25-04")</f>
        <v>0</v>
      </c>
      <c r="N102" s="1" t="str" cm="1">
        <f t="array" ref="N102">_xlfn.TEXTJOIN(", ",TRUE,_xlfn.UNIQUE(IF(BOMCheck[[#This Row],[CitcuitNumber]]=J:J,K:K,"")))</f>
        <v>0, 1, 2, 3, 4, 5, 6, 7, 8, 9</v>
      </c>
    </row>
    <row r="103" spans="1:14" x14ac:dyDescent="0.25">
      <c r="A103">
        <v>425</v>
      </c>
      <c r="B103">
        <v>0</v>
      </c>
      <c r="C103">
        <v>0</v>
      </c>
      <c r="D103" s="1" t="s">
        <v>92</v>
      </c>
      <c r="E103" s="1" t="s">
        <v>93</v>
      </c>
      <c r="F103" t="s">
        <v>15</v>
      </c>
      <c r="G103" s="1" t="s">
        <v>161</v>
      </c>
      <c r="H103">
        <v>4</v>
      </c>
      <c r="I103">
        <v>1</v>
      </c>
      <c r="J103" t="s">
        <v>165</v>
      </c>
      <c r="K103" t="str">
        <f>RIGHT(BOMCheck[[#This Row],[CircuitID]])</f>
        <v>7</v>
      </c>
      <c r="L103" s="1">
        <f>SUMIFS(I:I,J:J,BOMCheck[[#This Row],[CitcuitNumber]],H:H,7)</f>
        <v>10</v>
      </c>
      <c r="M103" s="1">
        <f>SUMIFS(I:I,J:J,BOMCheck[[#This Row],[CitcuitNumber]],G:G,"IEK-25-04")</f>
        <v>0</v>
      </c>
      <c r="N103" s="1" t="str" cm="1">
        <f t="array" ref="N103">_xlfn.TEXTJOIN(", ",TRUE,_xlfn.UNIQUE(IF(BOMCheck[[#This Row],[CitcuitNumber]]=J:J,K:K,"")))</f>
        <v>0, 1, 2, 3, 4, 5, 6, 7, 8, 9</v>
      </c>
    </row>
    <row r="104" spans="1:14" x14ac:dyDescent="0.25">
      <c r="A104">
        <v>426</v>
      </c>
      <c r="B104">
        <v>0</v>
      </c>
      <c r="C104">
        <v>0</v>
      </c>
      <c r="D104" s="1" t="s">
        <v>94</v>
      </c>
      <c r="E104" s="1" t="s">
        <v>95</v>
      </c>
      <c r="F104" t="s">
        <v>15</v>
      </c>
      <c r="G104" s="1" t="s">
        <v>162</v>
      </c>
      <c r="H104">
        <v>7</v>
      </c>
      <c r="I104">
        <v>1</v>
      </c>
      <c r="J104" t="s">
        <v>165</v>
      </c>
      <c r="K104" t="str">
        <f>RIGHT(BOMCheck[[#This Row],[CircuitID]])</f>
        <v>8</v>
      </c>
      <c r="L104" s="1">
        <f>SUMIFS(I:I,J:J,BOMCheck[[#This Row],[CitcuitNumber]],H:H,7)</f>
        <v>10</v>
      </c>
      <c r="M104" s="1">
        <f>SUMIFS(I:I,J:J,BOMCheck[[#This Row],[CitcuitNumber]],G:G,"IEK-25-04")</f>
        <v>0</v>
      </c>
      <c r="N104" s="1" t="str" cm="1">
        <f t="array" ref="N104">_xlfn.TEXTJOIN(", ",TRUE,_xlfn.UNIQUE(IF(BOMCheck[[#This Row],[CitcuitNumber]]=J:J,K:K,"")))</f>
        <v>0, 1, 2, 3, 4, 5, 6, 7, 8, 9</v>
      </c>
    </row>
    <row r="105" spans="1:14" x14ac:dyDescent="0.25">
      <c r="A105">
        <v>426</v>
      </c>
      <c r="B105">
        <v>0</v>
      </c>
      <c r="C105">
        <v>0</v>
      </c>
      <c r="D105" s="1" t="s">
        <v>94</v>
      </c>
      <c r="E105" s="1" t="s">
        <v>95</v>
      </c>
      <c r="F105" t="s">
        <v>15</v>
      </c>
      <c r="G105" s="1" t="s">
        <v>44</v>
      </c>
      <c r="H105">
        <v>11</v>
      </c>
      <c r="I105">
        <v>0.8</v>
      </c>
      <c r="J105" t="s">
        <v>165</v>
      </c>
      <c r="K105" t="str">
        <f>RIGHT(BOMCheck[[#This Row],[CircuitID]])</f>
        <v>8</v>
      </c>
      <c r="L105" s="1">
        <f>SUMIFS(I:I,J:J,BOMCheck[[#This Row],[CitcuitNumber]],H:H,7)</f>
        <v>10</v>
      </c>
      <c r="M105" s="1">
        <f>SUMIFS(I:I,J:J,BOMCheck[[#This Row],[CitcuitNumber]],G:G,"IEK-25-04")</f>
        <v>0</v>
      </c>
      <c r="N105" s="1" t="str" cm="1">
        <f t="array" ref="N105">_xlfn.TEXTJOIN(", ",TRUE,_xlfn.UNIQUE(IF(BOMCheck[[#This Row],[CitcuitNumber]]=J:J,K:K,"")))</f>
        <v>0, 1, 2, 3, 4, 5, 6, 7, 8, 9</v>
      </c>
    </row>
    <row r="106" spans="1:14" x14ac:dyDescent="0.25">
      <c r="A106">
        <v>426</v>
      </c>
      <c r="B106">
        <v>0</v>
      </c>
      <c r="C106">
        <v>0</v>
      </c>
      <c r="D106" s="1" t="s">
        <v>94</v>
      </c>
      <c r="E106" s="1" t="s">
        <v>95</v>
      </c>
      <c r="F106" t="s">
        <v>15</v>
      </c>
      <c r="G106" s="1" t="s">
        <v>164</v>
      </c>
      <c r="H106">
        <v>1</v>
      </c>
      <c r="I106">
        <v>57.09</v>
      </c>
      <c r="J106" t="s">
        <v>165</v>
      </c>
      <c r="K106" t="str">
        <f>RIGHT(BOMCheck[[#This Row],[CircuitID]])</f>
        <v>8</v>
      </c>
      <c r="L106" s="1">
        <f>SUMIFS(I:I,J:J,BOMCheck[[#This Row],[CitcuitNumber]],H:H,7)</f>
        <v>10</v>
      </c>
      <c r="M106" s="1">
        <f>SUMIFS(I:I,J:J,BOMCheck[[#This Row],[CitcuitNumber]],G:G,"IEK-25-04")</f>
        <v>0</v>
      </c>
      <c r="N106" s="1" t="str" cm="1">
        <f t="array" ref="N106">_xlfn.TEXTJOIN(", ",TRUE,_xlfn.UNIQUE(IF(BOMCheck[[#This Row],[CitcuitNumber]]=J:J,K:K,"")))</f>
        <v>0, 1, 2, 3, 4, 5, 6, 7, 8, 9</v>
      </c>
    </row>
    <row r="107" spans="1:14" x14ac:dyDescent="0.25">
      <c r="A107">
        <v>426</v>
      </c>
      <c r="B107">
        <v>0</v>
      </c>
      <c r="C107">
        <v>0</v>
      </c>
      <c r="D107" s="1" t="s">
        <v>94</v>
      </c>
      <c r="E107" s="1" t="s">
        <v>95</v>
      </c>
      <c r="F107" t="s">
        <v>15</v>
      </c>
      <c r="G107" s="1" t="s">
        <v>45</v>
      </c>
      <c r="H107">
        <v>10</v>
      </c>
      <c r="I107">
        <v>1</v>
      </c>
      <c r="J107" t="s">
        <v>165</v>
      </c>
      <c r="K107" t="str">
        <f>RIGHT(BOMCheck[[#This Row],[CircuitID]])</f>
        <v>8</v>
      </c>
      <c r="L107" s="1">
        <f>SUMIFS(I:I,J:J,BOMCheck[[#This Row],[CitcuitNumber]],H:H,7)</f>
        <v>10</v>
      </c>
      <c r="M107" s="1">
        <f>SUMIFS(I:I,J:J,BOMCheck[[#This Row],[CitcuitNumber]],G:G,"IEK-25-04")</f>
        <v>0</v>
      </c>
      <c r="N107" s="1" t="str" cm="1">
        <f t="array" ref="N107">_xlfn.TEXTJOIN(", ",TRUE,_xlfn.UNIQUE(IF(BOMCheck[[#This Row],[CitcuitNumber]]=J:J,K:K,"")))</f>
        <v>0, 1, 2, 3, 4, 5, 6, 7, 8, 9</v>
      </c>
    </row>
    <row r="108" spans="1:14" x14ac:dyDescent="0.25">
      <c r="A108">
        <v>426</v>
      </c>
      <c r="B108">
        <v>0</v>
      </c>
      <c r="C108">
        <v>0</v>
      </c>
      <c r="D108" s="1" t="s">
        <v>94</v>
      </c>
      <c r="E108" s="1" t="s">
        <v>95</v>
      </c>
      <c r="F108" t="s">
        <v>15</v>
      </c>
      <c r="G108" s="1" t="s">
        <v>161</v>
      </c>
      <c r="H108">
        <v>4</v>
      </c>
      <c r="I108">
        <v>1</v>
      </c>
      <c r="J108" t="s">
        <v>165</v>
      </c>
      <c r="K108" t="str">
        <f>RIGHT(BOMCheck[[#This Row],[CircuitID]])</f>
        <v>8</v>
      </c>
      <c r="L108" s="1">
        <f>SUMIFS(I:I,J:J,BOMCheck[[#This Row],[CitcuitNumber]],H:H,7)</f>
        <v>10</v>
      </c>
      <c r="M108" s="1">
        <f>SUMIFS(I:I,J:J,BOMCheck[[#This Row],[CitcuitNumber]],G:G,"IEK-25-04")</f>
        <v>0</v>
      </c>
      <c r="N108" s="1" t="str" cm="1">
        <f t="array" ref="N108">_xlfn.TEXTJOIN(", ",TRUE,_xlfn.UNIQUE(IF(BOMCheck[[#This Row],[CitcuitNumber]]=J:J,K:K,"")))</f>
        <v>0, 1, 2, 3, 4, 5, 6, 7, 8, 9</v>
      </c>
    </row>
    <row r="109" spans="1:14" x14ac:dyDescent="0.25">
      <c r="A109">
        <v>426</v>
      </c>
      <c r="B109">
        <v>0</v>
      </c>
      <c r="C109">
        <v>0</v>
      </c>
      <c r="D109" s="1" t="s">
        <v>94</v>
      </c>
      <c r="E109" s="1" t="s">
        <v>95</v>
      </c>
      <c r="F109" t="s">
        <v>15</v>
      </c>
      <c r="G109" s="1" t="s">
        <v>163</v>
      </c>
      <c r="H109">
        <v>13</v>
      </c>
      <c r="I109">
        <v>4</v>
      </c>
      <c r="J109" t="s">
        <v>165</v>
      </c>
      <c r="K109" t="str">
        <f>RIGHT(BOMCheck[[#This Row],[CircuitID]])</f>
        <v>8</v>
      </c>
      <c r="L109" s="1">
        <f>SUMIFS(I:I,J:J,BOMCheck[[#This Row],[CitcuitNumber]],H:H,7)</f>
        <v>10</v>
      </c>
      <c r="M109" s="1">
        <f>SUMIFS(I:I,J:J,BOMCheck[[#This Row],[CitcuitNumber]],G:G,"IEK-25-04")</f>
        <v>0</v>
      </c>
      <c r="N109" s="1" t="str" cm="1">
        <f t="array" ref="N109">_xlfn.TEXTJOIN(", ",TRUE,_xlfn.UNIQUE(IF(BOMCheck[[#This Row],[CitcuitNumber]]=J:J,K:K,"")))</f>
        <v>0, 1, 2, 3, 4, 5, 6, 7, 8, 9</v>
      </c>
    </row>
    <row r="110" spans="1:14" x14ac:dyDescent="0.25">
      <c r="A110">
        <v>427</v>
      </c>
      <c r="B110">
        <v>0</v>
      </c>
      <c r="C110">
        <v>0</v>
      </c>
      <c r="D110" s="1" t="s">
        <v>96</v>
      </c>
      <c r="E110" s="1" t="s">
        <v>97</v>
      </c>
      <c r="F110" t="s">
        <v>15</v>
      </c>
      <c r="G110" s="1" t="s">
        <v>163</v>
      </c>
      <c r="H110">
        <v>13</v>
      </c>
      <c r="I110">
        <v>4</v>
      </c>
      <c r="J110" t="s">
        <v>165</v>
      </c>
      <c r="K110" t="str">
        <f>RIGHT(BOMCheck[[#This Row],[CircuitID]])</f>
        <v>9</v>
      </c>
      <c r="L110" s="1">
        <f>SUMIFS(I:I,J:J,BOMCheck[[#This Row],[CitcuitNumber]],H:H,7)</f>
        <v>10</v>
      </c>
      <c r="M110" s="1">
        <f>SUMIFS(I:I,J:J,BOMCheck[[#This Row],[CitcuitNumber]],G:G,"IEK-25-04")</f>
        <v>0</v>
      </c>
      <c r="N110" s="1" t="str" cm="1">
        <f t="array" ref="N110">_xlfn.TEXTJOIN(", ",TRUE,_xlfn.UNIQUE(IF(BOMCheck[[#This Row],[CitcuitNumber]]=J:J,K:K,"")))</f>
        <v>0, 1, 2, 3, 4, 5, 6, 7, 8, 9</v>
      </c>
    </row>
    <row r="111" spans="1:14" x14ac:dyDescent="0.25">
      <c r="A111">
        <v>427</v>
      </c>
      <c r="B111">
        <v>0</v>
      </c>
      <c r="C111">
        <v>0</v>
      </c>
      <c r="D111" s="1" t="s">
        <v>96</v>
      </c>
      <c r="E111" s="1" t="s">
        <v>97</v>
      </c>
      <c r="F111" t="s">
        <v>15</v>
      </c>
      <c r="G111" s="1" t="s">
        <v>44</v>
      </c>
      <c r="H111">
        <v>11</v>
      </c>
      <c r="I111">
        <v>0.9</v>
      </c>
      <c r="J111" t="s">
        <v>165</v>
      </c>
      <c r="K111" t="str">
        <f>RIGHT(BOMCheck[[#This Row],[CircuitID]])</f>
        <v>9</v>
      </c>
      <c r="L111" s="1">
        <f>SUMIFS(I:I,J:J,BOMCheck[[#This Row],[CitcuitNumber]],H:H,7)</f>
        <v>10</v>
      </c>
      <c r="M111" s="1">
        <f>SUMIFS(I:I,J:J,BOMCheck[[#This Row],[CitcuitNumber]],G:G,"IEK-25-04")</f>
        <v>0</v>
      </c>
      <c r="N111" s="1" t="str" cm="1">
        <f t="array" ref="N111">_xlfn.TEXTJOIN(", ",TRUE,_xlfn.UNIQUE(IF(BOMCheck[[#This Row],[CitcuitNumber]]=J:J,K:K,"")))</f>
        <v>0, 1, 2, 3, 4, 5, 6, 7, 8, 9</v>
      </c>
    </row>
    <row r="112" spans="1:14" x14ac:dyDescent="0.25">
      <c r="A112">
        <v>427</v>
      </c>
      <c r="B112">
        <v>0</v>
      </c>
      <c r="C112">
        <v>0</v>
      </c>
      <c r="D112" s="1" t="s">
        <v>96</v>
      </c>
      <c r="E112" s="1" t="s">
        <v>97</v>
      </c>
      <c r="F112" t="s">
        <v>15</v>
      </c>
      <c r="G112" s="1" t="s">
        <v>164</v>
      </c>
      <c r="H112">
        <v>1</v>
      </c>
      <c r="I112">
        <v>66.599999999999994</v>
      </c>
      <c r="J112" t="s">
        <v>165</v>
      </c>
      <c r="K112" t="str">
        <f>RIGHT(BOMCheck[[#This Row],[CircuitID]])</f>
        <v>9</v>
      </c>
      <c r="L112" s="1">
        <f>SUMIFS(I:I,J:J,BOMCheck[[#This Row],[CitcuitNumber]],H:H,7)</f>
        <v>10</v>
      </c>
      <c r="M112" s="1">
        <f>SUMIFS(I:I,J:J,BOMCheck[[#This Row],[CitcuitNumber]],G:G,"IEK-25-04")</f>
        <v>0</v>
      </c>
      <c r="N112" s="1" t="str" cm="1">
        <f t="array" ref="N112">_xlfn.TEXTJOIN(", ",TRUE,_xlfn.UNIQUE(IF(BOMCheck[[#This Row],[CitcuitNumber]]=J:J,K:K,"")))</f>
        <v>0, 1, 2, 3, 4, 5, 6, 7, 8, 9</v>
      </c>
    </row>
    <row r="113" spans="1:14" x14ac:dyDescent="0.25">
      <c r="A113">
        <v>427</v>
      </c>
      <c r="B113">
        <v>0</v>
      </c>
      <c r="C113">
        <v>0</v>
      </c>
      <c r="D113" s="1" t="s">
        <v>96</v>
      </c>
      <c r="E113" s="1" t="s">
        <v>97</v>
      </c>
      <c r="F113" t="s">
        <v>15</v>
      </c>
      <c r="G113" s="1" t="s">
        <v>161</v>
      </c>
      <c r="H113">
        <v>4</v>
      </c>
      <c r="I113">
        <v>1</v>
      </c>
      <c r="J113" t="s">
        <v>165</v>
      </c>
      <c r="K113" t="str">
        <f>RIGHT(BOMCheck[[#This Row],[CircuitID]])</f>
        <v>9</v>
      </c>
      <c r="L113" s="1">
        <f>SUMIFS(I:I,J:J,BOMCheck[[#This Row],[CitcuitNumber]],H:H,7)</f>
        <v>10</v>
      </c>
      <c r="M113" s="1">
        <f>SUMIFS(I:I,J:J,BOMCheck[[#This Row],[CitcuitNumber]],G:G,"IEK-25-04")</f>
        <v>0</v>
      </c>
      <c r="N113" s="1" t="str" cm="1">
        <f t="array" ref="N113">_xlfn.TEXTJOIN(", ",TRUE,_xlfn.UNIQUE(IF(BOMCheck[[#This Row],[CitcuitNumber]]=J:J,K:K,"")))</f>
        <v>0, 1, 2, 3, 4, 5, 6, 7, 8, 9</v>
      </c>
    </row>
    <row r="114" spans="1:14" x14ac:dyDescent="0.25">
      <c r="A114">
        <v>427</v>
      </c>
      <c r="B114">
        <v>0</v>
      </c>
      <c r="C114">
        <v>0</v>
      </c>
      <c r="D114" s="1" t="s">
        <v>96</v>
      </c>
      <c r="E114" s="1" t="s">
        <v>97</v>
      </c>
      <c r="F114" t="s">
        <v>15</v>
      </c>
      <c r="G114" s="1" t="s">
        <v>162</v>
      </c>
      <c r="H114">
        <v>7</v>
      </c>
      <c r="I114">
        <v>1</v>
      </c>
      <c r="J114" t="s">
        <v>165</v>
      </c>
      <c r="K114" t="str">
        <f>RIGHT(BOMCheck[[#This Row],[CircuitID]])</f>
        <v>9</v>
      </c>
      <c r="L114" s="1">
        <f>SUMIFS(I:I,J:J,BOMCheck[[#This Row],[CitcuitNumber]],H:H,7)</f>
        <v>10</v>
      </c>
      <c r="M114" s="1">
        <f>SUMIFS(I:I,J:J,BOMCheck[[#This Row],[CitcuitNumber]],G:G,"IEK-25-04")</f>
        <v>0</v>
      </c>
      <c r="N114" s="1" t="str" cm="1">
        <f t="array" ref="N114">_xlfn.TEXTJOIN(", ",TRUE,_xlfn.UNIQUE(IF(BOMCheck[[#This Row],[CitcuitNumber]]=J:J,K:K,"")))</f>
        <v>0, 1, 2, 3, 4, 5, 6, 7, 8, 9</v>
      </c>
    </row>
    <row r="115" spans="1:14" x14ac:dyDescent="0.25">
      <c r="A115">
        <v>427</v>
      </c>
      <c r="B115">
        <v>0</v>
      </c>
      <c r="C115">
        <v>0</v>
      </c>
      <c r="D115" s="1" t="s">
        <v>96</v>
      </c>
      <c r="E115" s="1" t="s">
        <v>97</v>
      </c>
      <c r="F115" t="s">
        <v>15</v>
      </c>
      <c r="G115" s="1" t="s">
        <v>45</v>
      </c>
      <c r="H115">
        <v>10</v>
      </c>
      <c r="I115">
        <v>1</v>
      </c>
      <c r="J115" t="s">
        <v>165</v>
      </c>
      <c r="K115" t="str">
        <f>RIGHT(BOMCheck[[#This Row],[CircuitID]])</f>
        <v>9</v>
      </c>
      <c r="L115" s="1">
        <f>SUMIFS(I:I,J:J,BOMCheck[[#This Row],[CitcuitNumber]],H:H,7)</f>
        <v>10</v>
      </c>
      <c r="M115" s="1">
        <f>SUMIFS(I:I,J:J,BOMCheck[[#This Row],[CitcuitNumber]],G:G,"IEK-25-04")</f>
        <v>0</v>
      </c>
      <c r="N115" s="1" t="str" cm="1">
        <f t="array" ref="N115">_xlfn.TEXTJOIN(", ",TRUE,_xlfn.UNIQUE(IF(BOMCheck[[#This Row],[CitcuitNumber]]=J:J,K:K,"")))</f>
        <v>0, 1, 2, 3, 4, 5, 6, 7, 8, 9</v>
      </c>
    </row>
    <row r="116" spans="1:14" x14ac:dyDescent="0.25">
      <c r="A116">
        <v>428</v>
      </c>
      <c r="B116">
        <v>0</v>
      </c>
      <c r="C116">
        <v>0</v>
      </c>
      <c r="D116" s="1" t="s">
        <v>98</v>
      </c>
      <c r="E116" s="1" t="s">
        <v>99</v>
      </c>
      <c r="F116" t="s">
        <v>15</v>
      </c>
      <c r="G116" s="1" t="s">
        <v>161</v>
      </c>
      <c r="H116">
        <v>4</v>
      </c>
      <c r="I116">
        <v>1</v>
      </c>
      <c r="J116" t="s">
        <v>166</v>
      </c>
      <c r="K116" t="str">
        <f>RIGHT(BOMCheck[[#This Row],[CircuitID]])</f>
        <v>0</v>
      </c>
      <c r="L116" s="1">
        <f>SUMIFS(I:I,J:J,BOMCheck[[#This Row],[CitcuitNumber]],H:H,7)</f>
        <v>10</v>
      </c>
      <c r="M116" s="1">
        <f>SUMIFS(I:I,J:J,BOMCheck[[#This Row],[CitcuitNumber]],G:G,"IEK-25-04")</f>
        <v>0</v>
      </c>
      <c r="N116" s="1" t="str" cm="1">
        <f t="array" ref="N116">_xlfn.TEXTJOIN(", ",TRUE,_xlfn.UNIQUE(IF(BOMCheck[[#This Row],[CitcuitNumber]]=J:J,K:K,"")))</f>
        <v>0, 1, 2, 3, 4, 5, 6, 7, 8, 9</v>
      </c>
    </row>
    <row r="117" spans="1:14" x14ac:dyDescent="0.25">
      <c r="A117">
        <v>428</v>
      </c>
      <c r="B117">
        <v>0</v>
      </c>
      <c r="C117">
        <v>0</v>
      </c>
      <c r="D117" s="1" t="s">
        <v>98</v>
      </c>
      <c r="E117" s="1" t="s">
        <v>99</v>
      </c>
      <c r="F117" t="s">
        <v>15</v>
      </c>
      <c r="G117" s="1" t="s">
        <v>164</v>
      </c>
      <c r="H117">
        <v>1</v>
      </c>
      <c r="I117">
        <v>233.27</v>
      </c>
      <c r="J117" t="s">
        <v>166</v>
      </c>
      <c r="K117" t="str">
        <f>RIGHT(BOMCheck[[#This Row],[CircuitID]])</f>
        <v>0</v>
      </c>
      <c r="L117" s="1">
        <f>SUMIFS(I:I,J:J,BOMCheck[[#This Row],[CitcuitNumber]],H:H,7)</f>
        <v>10</v>
      </c>
      <c r="M117" s="1">
        <f>SUMIFS(I:I,J:J,BOMCheck[[#This Row],[CitcuitNumber]],G:G,"IEK-25-04")</f>
        <v>0</v>
      </c>
      <c r="N117" s="1" t="str" cm="1">
        <f t="array" ref="N117">_xlfn.TEXTJOIN(", ",TRUE,_xlfn.UNIQUE(IF(BOMCheck[[#This Row],[CitcuitNumber]]=J:J,K:K,"")))</f>
        <v>0, 1, 2, 3, 4, 5, 6, 7, 8, 9</v>
      </c>
    </row>
    <row r="118" spans="1:14" x14ac:dyDescent="0.25">
      <c r="A118">
        <v>428</v>
      </c>
      <c r="B118">
        <v>0</v>
      </c>
      <c r="C118">
        <v>0</v>
      </c>
      <c r="D118" s="1" t="s">
        <v>98</v>
      </c>
      <c r="E118" s="1" t="s">
        <v>99</v>
      </c>
      <c r="F118" t="s">
        <v>15</v>
      </c>
      <c r="G118" s="1" t="s">
        <v>163</v>
      </c>
      <c r="H118">
        <v>13</v>
      </c>
      <c r="I118">
        <v>17</v>
      </c>
      <c r="J118" t="s">
        <v>166</v>
      </c>
      <c r="K118" t="str">
        <f>RIGHT(BOMCheck[[#This Row],[CircuitID]])</f>
        <v>0</v>
      </c>
      <c r="L118" s="1">
        <f>SUMIFS(I:I,J:J,BOMCheck[[#This Row],[CitcuitNumber]],H:H,7)</f>
        <v>10</v>
      </c>
      <c r="M118" s="1">
        <f>SUMIFS(I:I,J:J,BOMCheck[[#This Row],[CitcuitNumber]],G:G,"IEK-25-04")</f>
        <v>0</v>
      </c>
      <c r="N118" s="1" t="str" cm="1">
        <f t="array" ref="N118">_xlfn.TEXTJOIN(", ",TRUE,_xlfn.UNIQUE(IF(BOMCheck[[#This Row],[CitcuitNumber]]=J:J,K:K,"")))</f>
        <v>0, 1, 2, 3, 4, 5, 6, 7, 8, 9</v>
      </c>
    </row>
    <row r="119" spans="1:14" x14ac:dyDescent="0.25">
      <c r="A119">
        <v>428</v>
      </c>
      <c r="B119">
        <v>0</v>
      </c>
      <c r="C119">
        <v>0</v>
      </c>
      <c r="D119" s="1" t="s">
        <v>98</v>
      </c>
      <c r="E119" s="1" t="s">
        <v>99</v>
      </c>
      <c r="F119" t="s">
        <v>15</v>
      </c>
      <c r="G119" s="1" t="s">
        <v>45</v>
      </c>
      <c r="H119">
        <v>10</v>
      </c>
      <c r="I119">
        <v>1</v>
      </c>
      <c r="J119" t="s">
        <v>166</v>
      </c>
      <c r="K119" t="str">
        <f>RIGHT(BOMCheck[[#This Row],[CircuitID]])</f>
        <v>0</v>
      </c>
      <c r="L119" s="1">
        <f>SUMIFS(I:I,J:J,BOMCheck[[#This Row],[CitcuitNumber]],H:H,7)</f>
        <v>10</v>
      </c>
      <c r="M119" s="1">
        <f>SUMIFS(I:I,J:J,BOMCheck[[#This Row],[CitcuitNumber]],G:G,"IEK-25-04")</f>
        <v>0</v>
      </c>
      <c r="N119" s="1" t="str" cm="1">
        <f t="array" ref="N119">_xlfn.TEXTJOIN(", ",TRUE,_xlfn.UNIQUE(IF(BOMCheck[[#This Row],[CitcuitNumber]]=J:J,K:K,"")))</f>
        <v>0, 1, 2, 3, 4, 5, 6, 7, 8, 9</v>
      </c>
    </row>
    <row r="120" spans="1:14" x14ac:dyDescent="0.25">
      <c r="A120">
        <v>428</v>
      </c>
      <c r="B120">
        <v>0</v>
      </c>
      <c r="C120">
        <v>0</v>
      </c>
      <c r="D120" s="1" t="s">
        <v>98</v>
      </c>
      <c r="E120" s="1" t="s">
        <v>99</v>
      </c>
      <c r="F120" t="s">
        <v>15</v>
      </c>
      <c r="G120" s="1" t="s">
        <v>44</v>
      </c>
      <c r="H120">
        <v>11</v>
      </c>
      <c r="I120">
        <v>3.8</v>
      </c>
      <c r="J120" t="s">
        <v>166</v>
      </c>
      <c r="K120" t="str">
        <f>RIGHT(BOMCheck[[#This Row],[CircuitID]])</f>
        <v>0</v>
      </c>
      <c r="L120" s="1">
        <f>SUMIFS(I:I,J:J,BOMCheck[[#This Row],[CitcuitNumber]],H:H,7)</f>
        <v>10</v>
      </c>
      <c r="M120" s="1">
        <f>SUMIFS(I:I,J:J,BOMCheck[[#This Row],[CitcuitNumber]],G:G,"IEK-25-04")</f>
        <v>0</v>
      </c>
      <c r="N120" s="1" t="str" cm="1">
        <f t="array" ref="N120">_xlfn.TEXTJOIN(", ",TRUE,_xlfn.UNIQUE(IF(BOMCheck[[#This Row],[CitcuitNumber]]=J:J,K:K,"")))</f>
        <v>0, 1, 2, 3, 4, 5, 6, 7, 8, 9</v>
      </c>
    </row>
    <row r="121" spans="1:14" x14ac:dyDescent="0.25">
      <c r="A121">
        <v>428</v>
      </c>
      <c r="B121">
        <v>0</v>
      </c>
      <c r="C121">
        <v>0</v>
      </c>
      <c r="D121" s="1" t="s">
        <v>98</v>
      </c>
      <c r="E121" s="1" t="s">
        <v>99</v>
      </c>
      <c r="F121" t="s">
        <v>15</v>
      </c>
      <c r="G121" s="1" t="s">
        <v>162</v>
      </c>
      <c r="H121">
        <v>7</v>
      </c>
      <c r="I121">
        <v>1</v>
      </c>
      <c r="J121" t="s">
        <v>166</v>
      </c>
      <c r="K121" t="str">
        <f>RIGHT(BOMCheck[[#This Row],[CircuitID]])</f>
        <v>0</v>
      </c>
      <c r="L121" s="1">
        <f>SUMIFS(I:I,J:J,BOMCheck[[#This Row],[CitcuitNumber]],H:H,7)</f>
        <v>10</v>
      </c>
      <c r="M121" s="1">
        <f>SUMIFS(I:I,J:J,BOMCheck[[#This Row],[CitcuitNumber]],G:G,"IEK-25-04")</f>
        <v>0</v>
      </c>
      <c r="N121" s="1" t="str" cm="1">
        <f t="array" ref="N121">_xlfn.TEXTJOIN(", ",TRUE,_xlfn.UNIQUE(IF(BOMCheck[[#This Row],[CitcuitNumber]]=J:J,K:K,"")))</f>
        <v>0, 1, 2, 3, 4, 5, 6, 7, 8, 9</v>
      </c>
    </row>
    <row r="122" spans="1:14" x14ac:dyDescent="0.25">
      <c r="A122">
        <v>429</v>
      </c>
      <c r="B122">
        <v>0</v>
      </c>
      <c r="C122">
        <v>0</v>
      </c>
      <c r="D122" s="1" t="s">
        <v>100</v>
      </c>
      <c r="E122" s="1" t="s">
        <v>101</v>
      </c>
      <c r="F122" t="s">
        <v>15</v>
      </c>
      <c r="G122" s="1" t="s">
        <v>164</v>
      </c>
      <c r="H122">
        <v>1</v>
      </c>
      <c r="I122">
        <v>79.400000000000006</v>
      </c>
      <c r="J122" t="s">
        <v>166</v>
      </c>
      <c r="K122" t="str">
        <f>RIGHT(BOMCheck[[#This Row],[CircuitID]])</f>
        <v>1</v>
      </c>
      <c r="L122" s="1">
        <f>SUMIFS(I:I,J:J,BOMCheck[[#This Row],[CitcuitNumber]],H:H,7)</f>
        <v>10</v>
      </c>
      <c r="M122" s="1">
        <f>SUMIFS(I:I,J:J,BOMCheck[[#This Row],[CitcuitNumber]],G:G,"IEK-25-04")</f>
        <v>0</v>
      </c>
      <c r="N122" s="1" t="str" cm="1">
        <f t="array" ref="N122">_xlfn.TEXTJOIN(", ",TRUE,_xlfn.UNIQUE(IF(BOMCheck[[#This Row],[CitcuitNumber]]=J:J,K:K,"")))</f>
        <v>0, 1, 2, 3, 4, 5, 6, 7, 8, 9</v>
      </c>
    </row>
    <row r="123" spans="1:14" x14ac:dyDescent="0.25">
      <c r="A123">
        <v>429</v>
      </c>
      <c r="B123">
        <v>0</v>
      </c>
      <c r="C123">
        <v>0</v>
      </c>
      <c r="D123" s="1" t="s">
        <v>100</v>
      </c>
      <c r="E123" s="1" t="s">
        <v>101</v>
      </c>
      <c r="F123" t="s">
        <v>15</v>
      </c>
      <c r="G123" s="1" t="s">
        <v>161</v>
      </c>
      <c r="H123">
        <v>4</v>
      </c>
      <c r="I123">
        <v>1</v>
      </c>
      <c r="J123" t="s">
        <v>166</v>
      </c>
      <c r="K123" t="str">
        <f>RIGHT(BOMCheck[[#This Row],[CircuitID]])</f>
        <v>1</v>
      </c>
      <c r="L123" s="1">
        <f>SUMIFS(I:I,J:J,BOMCheck[[#This Row],[CitcuitNumber]],H:H,7)</f>
        <v>10</v>
      </c>
      <c r="M123" s="1">
        <f>SUMIFS(I:I,J:J,BOMCheck[[#This Row],[CitcuitNumber]],G:G,"IEK-25-04")</f>
        <v>0</v>
      </c>
      <c r="N123" s="1" t="str" cm="1">
        <f t="array" ref="N123">_xlfn.TEXTJOIN(", ",TRUE,_xlfn.UNIQUE(IF(BOMCheck[[#This Row],[CitcuitNumber]]=J:J,K:K,"")))</f>
        <v>0, 1, 2, 3, 4, 5, 6, 7, 8, 9</v>
      </c>
    </row>
    <row r="124" spans="1:14" x14ac:dyDescent="0.25">
      <c r="A124">
        <v>429</v>
      </c>
      <c r="B124">
        <v>0</v>
      </c>
      <c r="C124">
        <v>0</v>
      </c>
      <c r="D124" s="1" t="s">
        <v>100</v>
      </c>
      <c r="E124" s="1" t="s">
        <v>101</v>
      </c>
      <c r="F124" t="s">
        <v>15</v>
      </c>
      <c r="G124" s="1" t="s">
        <v>44</v>
      </c>
      <c r="H124">
        <v>11</v>
      </c>
      <c r="I124">
        <v>1.2</v>
      </c>
      <c r="J124" t="s">
        <v>166</v>
      </c>
      <c r="K124" t="str">
        <f>RIGHT(BOMCheck[[#This Row],[CircuitID]])</f>
        <v>1</v>
      </c>
      <c r="L124" s="1">
        <f>SUMIFS(I:I,J:J,BOMCheck[[#This Row],[CitcuitNumber]],H:H,7)</f>
        <v>10</v>
      </c>
      <c r="M124" s="1">
        <f>SUMIFS(I:I,J:J,BOMCheck[[#This Row],[CitcuitNumber]],G:G,"IEK-25-04")</f>
        <v>0</v>
      </c>
      <c r="N124" s="1" t="str" cm="1">
        <f t="array" ref="N124">_xlfn.TEXTJOIN(", ",TRUE,_xlfn.UNIQUE(IF(BOMCheck[[#This Row],[CitcuitNumber]]=J:J,K:K,"")))</f>
        <v>0, 1, 2, 3, 4, 5, 6, 7, 8, 9</v>
      </c>
    </row>
    <row r="125" spans="1:14" x14ac:dyDescent="0.25">
      <c r="A125">
        <v>429</v>
      </c>
      <c r="B125">
        <v>0</v>
      </c>
      <c r="C125">
        <v>0</v>
      </c>
      <c r="D125" s="1" t="s">
        <v>100</v>
      </c>
      <c r="E125" s="1" t="s">
        <v>101</v>
      </c>
      <c r="F125" t="s">
        <v>15</v>
      </c>
      <c r="G125" s="1" t="s">
        <v>163</v>
      </c>
      <c r="H125">
        <v>13</v>
      </c>
      <c r="I125">
        <v>5</v>
      </c>
      <c r="J125" t="s">
        <v>166</v>
      </c>
      <c r="K125" t="str">
        <f>RIGHT(BOMCheck[[#This Row],[CircuitID]])</f>
        <v>1</v>
      </c>
      <c r="L125" s="1">
        <f>SUMIFS(I:I,J:J,BOMCheck[[#This Row],[CitcuitNumber]],H:H,7)</f>
        <v>10</v>
      </c>
      <c r="M125" s="1">
        <f>SUMIFS(I:I,J:J,BOMCheck[[#This Row],[CitcuitNumber]],G:G,"IEK-25-04")</f>
        <v>0</v>
      </c>
      <c r="N125" s="1" t="str" cm="1">
        <f t="array" ref="N125">_xlfn.TEXTJOIN(", ",TRUE,_xlfn.UNIQUE(IF(BOMCheck[[#This Row],[CitcuitNumber]]=J:J,K:K,"")))</f>
        <v>0, 1, 2, 3, 4, 5, 6, 7, 8, 9</v>
      </c>
    </row>
    <row r="126" spans="1:14" x14ac:dyDescent="0.25">
      <c r="A126">
        <v>429</v>
      </c>
      <c r="B126">
        <v>0</v>
      </c>
      <c r="C126">
        <v>0</v>
      </c>
      <c r="D126" s="1" t="s">
        <v>100</v>
      </c>
      <c r="E126" s="1" t="s">
        <v>101</v>
      </c>
      <c r="F126" t="s">
        <v>15</v>
      </c>
      <c r="G126" s="1" t="s">
        <v>45</v>
      </c>
      <c r="H126">
        <v>10</v>
      </c>
      <c r="I126">
        <v>1</v>
      </c>
      <c r="J126" t="s">
        <v>166</v>
      </c>
      <c r="K126" t="str">
        <f>RIGHT(BOMCheck[[#This Row],[CircuitID]])</f>
        <v>1</v>
      </c>
      <c r="L126" s="1">
        <f>SUMIFS(I:I,J:J,BOMCheck[[#This Row],[CitcuitNumber]],H:H,7)</f>
        <v>10</v>
      </c>
      <c r="M126" s="1">
        <f>SUMIFS(I:I,J:J,BOMCheck[[#This Row],[CitcuitNumber]],G:G,"IEK-25-04")</f>
        <v>0</v>
      </c>
      <c r="N126" s="1" t="str" cm="1">
        <f t="array" ref="N126">_xlfn.TEXTJOIN(", ",TRUE,_xlfn.UNIQUE(IF(BOMCheck[[#This Row],[CitcuitNumber]]=J:J,K:K,"")))</f>
        <v>0, 1, 2, 3, 4, 5, 6, 7, 8, 9</v>
      </c>
    </row>
    <row r="127" spans="1:14" x14ac:dyDescent="0.25">
      <c r="A127">
        <v>429</v>
      </c>
      <c r="B127">
        <v>0</v>
      </c>
      <c r="C127">
        <v>0</v>
      </c>
      <c r="D127" s="1" t="s">
        <v>100</v>
      </c>
      <c r="E127" s="1" t="s">
        <v>101</v>
      </c>
      <c r="F127" t="s">
        <v>15</v>
      </c>
      <c r="G127" s="1" t="s">
        <v>162</v>
      </c>
      <c r="H127">
        <v>7</v>
      </c>
      <c r="I127">
        <v>1</v>
      </c>
      <c r="J127" t="s">
        <v>166</v>
      </c>
      <c r="K127" t="str">
        <f>RIGHT(BOMCheck[[#This Row],[CircuitID]])</f>
        <v>1</v>
      </c>
      <c r="L127" s="1">
        <f>SUMIFS(I:I,J:J,BOMCheck[[#This Row],[CitcuitNumber]],H:H,7)</f>
        <v>10</v>
      </c>
      <c r="M127" s="1">
        <f>SUMIFS(I:I,J:J,BOMCheck[[#This Row],[CitcuitNumber]],G:G,"IEK-25-04")</f>
        <v>0</v>
      </c>
      <c r="N127" s="1" t="str" cm="1">
        <f t="array" ref="N127">_xlfn.TEXTJOIN(", ",TRUE,_xlfn.UNIQUE(IF(BOMCheck[[#This Row],[CitcuitNumber]]=J:J,K:K,"")))</f>
        <v>0, 1, 2, 3, 4, 5, 6, 7, 8, 9</v>
      </c>
    </row>
    <row r="128" spans="1:14" x14ac:dyDescent="0.25">
      <c r="A128">
        <v>430</v>
      </c>
      <c r="B128">
        <v>0</v>
      </c>
      <c r="C128">
        <v>0</v>
      </c>
      <c r="D128" s="1" t="s">
        <v>102</v>
      </c>
      <c r="E128" s="1" t="s">
        <v>103</v>
      </c>
      <c r="F128" t="s">
        <v>15</v>
      </c>
      <c r="G128" s="1" t="s">
        <v>43</v>
      </c>
      <c r="H128">
        <v>10</v>
      </c>
      <c r="I128">
        <v>1</v>
      </c>
      <c r="J128" t="s">
        <v>166</v>
      </c>
      <c r="K128" t="str">
        <f>RIGHT(BOMCheck[[#This Row],[CircuitID]])</f>
        <v>2</v>
      </c>
      <c r="L128" s="1">
        <f>SUMIFS(I:I,J:J,BOMCheck[[#This Row],[CitcuitNumber]],H:H,7)</f>
        <v>10</v>
      </c>
      <c r="M128" s="1">
        <f>SUMIFS(I:I,J:J,BOMCheck[[#This Row],[CitcuitNumber]],G:G,"IEK-25-04")</f>
        <v>0</v>
      </c>
      <c r="N128" s="1" t="str" cm="1">
        <f t="array" ref="N128">_xlfn.TEXTJOIN(", ",TRUE,_xlfn.UNIQUE(IF(BOMCheck[[#This Row],[CitcuitNumber]]=J:J,K:K,"")))</f>
        <v>0, 1, 2, 3, 4, 5, 6, 7, 8, 9</v>
      </c>
    </row>
    <row r="129" spans="1:14" x14ac:dyDescent="0.25">
      <c r="A129">
        <v>430</v>
      </c>
      <c r="B129">
        <v>0</v>
      </c>
      <c r="C129">
        <v>0</v>
      </c>
      <c r="D129" s="1" t="s">
        <v>102</v>
      </c>
      <c r="E129" s="1" t="s">
        <v>103</v>
      </c>
      <c r="F129" t="s">
        <v>15</v>
      </c>
      <c r="G129" s="1" t="s">
        <v>44</v>
      </c>
      <c r="H129">
        <v>11</v>
      </c>
      <c r="I129">
        <v>2.6</v>
      </c>
      <c r="J129" t="s">
        <v>166</v>
      </c>
      <c r="K129" t="str">
        <f>RIGHT(BOMCheck[[#This Row],[CircuitID]])</f>
        <v>2</v>
      </c>
      <c r="L129" s="1">
        <f>SUMIFS(I:I,J:J,BOMCheck[[#This Row],[CitcuitNumber]],H:H,7)</f>
        <v>10</v>
      </c>
      <c r="M129" s="1">
        <f>SUMIFS(I:I,J:J,BOMCheck[[#This Row],[CitcuitNumber]],G:G,"IEK-25-04")</f>
        <v>0</v>
      </c>
      <c r="N129" s="1" t="str" cm="1">
        <f t="array" ref="N129">_xlfn.TEXTJOIN(", ",TRUE,_xlfn.UNIQUE(IF(BOMCheck[[#This Row],[CitcuitNumber]]=J:J,K:K,"")))</f>
        <v>0, 1, 2, 3, 4, 5, 6, 7, 8, 9</v>
      </c>
    </row>
    <row r="130" spans="1:14" x14ac:dyDescent="0.25">
      <c r="A130">
        <v>430</v>
      </c>
      <c r="B130">
        <v>0</v>
      </c>
      <c r="C130">
        <v>0</v>
      </c>
      <c r="D130" s="1" t="s">
        <v>102</v>
      </c>
      <c r="E130" s="1" t="s">
        <v>103</v>
      </c>
      <c r="F130" t="s">
        <v>15</v>
      </c>
      <c r="G130" s="1" t="s">
        <v>164</v>
      </c>
      <c r="H130">
        <v>1</v>
      </c>
      <c r="I130">
        <v>55.12</v>
      </c>
      <c r="J130" t="s">
        <v>166</v>
      </c>
      <c r="K130" t="str">
        <f>RIGHT(BOMCheck[[#This Row],[CircuitID]])</f>
        <v>2</v>
      </c>
      <c r="L130" s="1">
        <f>SUMIFS(I:I,J:J,BOMCheck[[#This Row],[CitcuitNumber]],H:H,7)</f>
        <v>10</v>
      </c>
      <c r="M130" s="1">
        <f>SUMIFS(I:I,J:J,BOMCheck[[#This Row],[CitcuitNumber]],G:G,"IEK-25-04")</f>
        <v>0</v>
      </c>
      <c r="N130" s="1" t="str" cm="1">
        <f t="array" ref="N130">_xlfn.TEXTJOIN(", ",TRUE,_xlfn.UNIQUE(IF(BOMCheck[[#This Row],[CitcuitNumber]]=J:J,K:K,"")))</f>
        <v>0, 1, 2, 3, 4, 5, 6, 7, 8, 9</v>
      </c>
    </row>
    <row r="131" spans="1:14" x14ac:dyDescent="0.25">
      <c r="A131">
        <v>430</v>
      </c>
      <c r="B131">
        <v>0</v>
      </c>
      <c r="C131">
        <v>0</v>
      </c>
      <c r="D131" s="1" t="s">
        <v>102</v>
      </c>
      <c r="E131" s="1" t="s">
        <v>103</v>
      </c>
      <c r="F131" t="s">
        <v>15</v>
      </c>
      <c r="G131" s="1" t="s">
        <v>161</v>
      </c>
      <c r="H131">
        <v>4</v>
      </c>
      <c r="I131">
        <v>1</v>
      </c>
      <c r="J131" t="s">
        <v>166</v>
      </c>
      <c r="K131" t="str">
        <f>RIGHT(BOMCheck[[#This Row],[CircuitID]])</f>
        <v>2</v>
      </c>
      <c r="L131" s="1">
        <f>SUMIFS(I:I,J:J,BOMCheck[[#This Row],[CitcuitNumber]],H:H,7)</f>
        <v>10</v>
      </c>
      <c r="M131" s="1">
        <f>SUMIFS(I:I,J:J,BOMCheck[[#This Row],[CitcuitNumber]],G:G,"IEK-25-04")</f>
        <v>0</v>
      </c>
      <c r="N131" s="1" t="str" cm="1">
        <f t="array" ref="N131">_xlfn.TEXTJOIN(", ",TRUE,_xlfn.UNIQUE(IF(BOMCheck[[#This Row],[CitcuitNumber]]=J:J,K:K,"")))</f>
        <v>0, 1, 2, 3, 4, 5, 6, 7, 8, 9</v>
      </c>
    </row>
    <row r="132" spans="1:14" x14ac:dyDescent="0.25">
      <c r="A132">
        <v>430</v>
      </c>
      <c r="B132">
        <v>0</v>
      </c>
      <c r="C132">
        <v>0</v>
      </c>
      <c r="D132" s="1" t="s">
        <v>102</v>
      </c>
      <c r="E132" s="1" t="s">
        <v>103</v>
      </c>
      <c r="F132" t="s">
        <v>15</v>
      </c>
      <c r="G132" s="1" t="s">
        <v>162</v>
      </c>
      <c r="H132">
        <v>7</v>
      </c>
      <c r="I132">
        <v>1</v>
      </c>
      <c r="J132" t="s">
        <v>166</v>
      </c>
      <c r="K132" t="str">
        <f>RIGHT(BOMCheck[[#This Row],[CircuitID]])</f>
        <v>2</v>
      </c>
      <c r="L132" s="1">
        <f>SUMIFS(I:I,J:J,BOMCheck[[#This Row],[CitcuitNumber]],H:H,7)</f>
        <v>10</v>
      </c>
      <c r="M132" s="1">
        <f>SUMIFS(I:I,J:J,BOMCheck[[#This Row],[CitcuitNumber]],G:G,"IEK-25-04")</f>
        <v>0</v>
      </c>
      <c r="N132" s="1" t="str" cm="1">
        <f t="array" ref="N132">_xlfn.TEXTJOIN(", ",TRUE,_xlfn.UNIQUE(IF(BOMCheck[[#This Row],[CitcuitNumber]]=J:J,K:K,"")))</f>
        <v>0, 1, 2, 3, 4, 5, 6, 7, 8, 9</v>
      </c>
    </row>
    <row r="133" spans="1:14" x14ac:dyDescent="0.25">
      <c r="A133">
        <v>430</v>
      </c>
      <c r="B133">
        <v>0</v>
      </c>
      <c r="C133">
        <v>0</v>
      </c>
      <c r="D133" s="1" t="s">
        <v>102</v>
      </c>
      <c r="E133" s="1" t="s">
        <v>103</v>
      </c>
      <c r="F133" t="s">
        <v>15</v>
      </c>
      <c r="G133" s="1" t="s">
        <v>163</v>
      </c>
      <c r="H133">
        <v>13</v>
      </c>
      <c r="I133">
        <v>4</v>
      </c>
      <c r="J133" t="s">
        <v>166</v>
      </c>
      <c r="K133" t="str">
        <f>RIGHT(BOMCheck[[#This Row],[CircuitID]])</f>
        <v>2</v>
      </c>
      <c r="L133" s="1">
        <f>SUMIFS(I:I,J:J,BOMCheck[[#This Row],[CitcuitNumber]],H:H,7)</f>
        <v>10</v>
      </c>
      <c r="M133" s="1">
        <f>SUMIFS(I:I,J:J,BOMCheck[[#This Row],[CitcuitNumber]],G:G,"IEK-25-04")</f>
        <v>0</v>
      </c>
      <c r="N133" s="1" t="str" cm="1">
        <f t="array" ref="N133">_xlfn.TEXTJOIN(", ",TRUE,_xlfn.UNIQUE(IF(BOMCheck[[#This Row],[CitcuitNumber]]=J:J,K:K,"")))</f>
        <v>0, 1, 2, 3, 4, 5, 6, 7, 8, 9</v>
      </c>
    </row>
    <row r="134" spans="1:14" x14ac:dyDescent="0.25">
      <c r="A134">
        <v>431</v>
      </c>
      <c r="B134">
        <v>0</v>
      </c>
      <c r="C134">
        <v>0</v>
      </c>
      <c r="D134" s="1" t="s">
        <v>104</v>
      </c>
      <c r="E134" s="1" t="s">
        <v>105</v>
      </c>
      <c r="F134" t="s">
        <v>15</v>
      </c>
      <c r="G134" s="1" t="s">
        <v>162</v>
      </c>
      <c r="H134">
        <v>7</v>
      </c>
      <c r="I134">
        <v>1</v>
      </c>
      <c r="J134" t="s">
        <v>166</v>
      </c>
      <c r="K134" t="str">
        <f>RIGHT(BOMCheck[[#This Row],[CircuitID]])</f>
        <v>3</v>
      </c>
      <c r="L134" s="1">
        <f>SUMIFS(I:I,J:J,BOMCheck[[#This Row],[CitcuitNumber]],H:H,7)</f>
        <v>10</v>
      </c>
      <c r="M134" s="1">
        <f>SUMIFS(I:I,J:J,BOMCheck[[#This Row],[CitcuitNumber]],G:G,"IEK-25-04")</f>
        <v>0</v>
      </c>
      <c r="N134" s="1" t="str" cm="1">
        <f t="array" ref="N134">_xlfn.TEXTJOIN(", ",TRUE,_xlfn.UNIQUE(IF(BOMCheck[[#This Row],[CitcuitNumber]]=J:J,K:K,"")))</f>
        <v>0, 1, 2, 3, 4, 5, 6, 7, 8, 9</v>
      </c>
    </row>
    <row r="135" spans="1:14" x14ac:dyDescent="0.25">
      <c r="A135">
        <v>431</v>
      </c>
      <c r="B135">
        <v>0</v>
      </c>
      <c r="C135">
        <v>0</v>
      </c>
      <c r="D135" s="1" t="s">
        <v>104</v>
      </c>
      <c r="E135" s="1" t="s">
        <v>105</v>
      </c>
      <c r="F135" t="s">
        <v>15</v>
      </c>
      <c r="G135" s="1" t="s">
        <v>44</v>
      </c>
      <c r="H135">
        <v>11</v>
      </c>
      <c r="I135">
        <v>6.1</v>
      </c>
      <c r="J135" t="s">
        <v>166</v>
      </c>
      <c r="K135" t="str">
        <f>RIGHT(BOMCheck[[#This Row],[CircuitID]])</f>
        <v>3</v>
      </c>
      <c r="L135" s="1">
        <f>SUMIFS(I:I,J:J,BOMCheck[[#This Row],[CitcuitNumber]],H:H,7)</f>
        <v>10</v>
      </c>
      <c r="M135" s="1">
        <f>SUMIFS(I:I,J:J,BOMCheck[[#This Row],[CitcuitNumber]],G:G,"IEK-25-04")</f>
        <v>0</v>
      </c>
      <c r="N135" s="1" t="str" cm="1">
        <f t="array" ref="N135">_xlfn.TEXTJOIN(", ",TRUE,_xlfn.UNIQUE(IF(BOMCheck[[#This Row],[CitcuitNumber]]=J:J,K:K,"")))</f>
        <v>0, 1, 2, 3, 4, 5, 6, 7, 8, 9</v>
      </c>
    </row>
    <row r="136" spans="1:14" x14ac:dyDescent="0.25">
      <c r="A136">
        <v>431</v>
      </c>
      <c r="B136">
        <v>0</v>
      </c>
      <c r="C136">
        <v>0</v>
      </c>
      <c r="D136" s="1" t="s">
        <v>104</v>
      </c>
      <c r="E136" s="1" t="s">
        <v>105</v>
      </c>
      <c r="F136" t="s">
        <v>15</v>
      </c>
      <c r="G136" s="1" t="s">
        <v>167</v>
      </c>
      <c r="H136">
        <v>1</v>
      </c>
      <c r="I136">
        <v>305.77</v>
      </c>
      <c r="J136" t="s">
        <v>166</v>
      </c>
      <c r="K136" t="str">
        <f>RIGHT(BOMCheck[[#This Row],[CircuitID]])</f>
        <v>3</v>
      </c>
      <c r="L136" s="1">
        <f>SUMIFS(I:I,J:J,BOMCheck[[#This Row],[CitcuitNumber]],H:H,7)</f>
        <v>10</v>
      </c>
      <c r="M136" s="1">
        <f>SUMIFS(I:I,J:J,BOMCheck[[#This Row],[CitcuitNumber]],G:G,"IEK-25-04")</f>
        <v>0</v>
      </c>
      <c r="N136" s="1" t="str" cm="1">
        <f t="array" ref="N136">_xlfn.TEXTJOIN(", ",TRUE,_xlfn.UNIQUE(IF(BOMCheck[[#This Row],[CitcuitNumber]]=J:J,K:K,"")))</f>
        <v>0, 1, 2, 3, 4, 5, 6, 7, 8, 9</v>
      </c>
    </row>
    <row r="137" spans="1:14" x14ac:dyDescent="0.25">
      <c r="A137">
        <v>431</v>
      </c>
      <c r="B137">
        <v>0</v>
      </c>
      <c r="C137">
        <v>0</v>
      </c>
      <c r="D137" s="1" t="s">
        <v>104</v>
      </c>
      <c r="E137" s="1" t="s">
        <v>105</v>
      </c>
      <c r="F137" t="s">
        <v>15</v>
      </c>
      <c r="G137" s="1" t="s">
        <v>161</v>
      </c>
      <c r="H137">
        <v>4</v>
      </c>
      <c r="I137">
        <v>1</v>
      </c>
      <c r="J137" t="s">
        <v>166</v>
      </c>
      <c r="K137" t="str">
        <f>RIGHT(BOMCheck[[#This Row],[CircuitID]])</f>
        <v>3</v>
      </c>
      <c r="L137" s="1">
        <f>SUMIFS(I:I,J:J,BOMCheck[[#This Row],[CitcuitNumber]],H:H,7)</f>
        <v>10</v>
      </c>
      <c r="M137" s="1">
        <f>SUMIFS(I:I,J:J,BOMCheck[[#This Row],[CitcuitNumber]],G:G,"IEK-25-04")</f>
        <v>0</v>
      </c>
      <c r="N137" s="1" t="str" cm="1">
        <f t="array" ref="N137">_xlfn.TEXTJOIN(", ",TRUE,_xlfn.UNIQUE(IF(BOMCheck[[#This Row],[CitcuitNumber]]=J:J,K:K,"")))</f>
        <v>0, 1, 2, 3, 4, 5, 6, 7, 8, 9</v>
      </c>
    </row>
    <row r="138" spans="1:14" x14ac:dyDescent="0.25">
      <c r="A138">
        <v>431</v>
      </c>
      <c r="B138">
        <v>0</v>
      </c>
      <c r="C138">
        <v>0</v>
      </c>
      <c r="D138" s="1" t="s">
        <v>104</v>
      </c>
      <c r="E138" s="1" t="s">
        <v>105</v>
      </c>
      <c r="F138" t="s">
        <v>15</v>
      </c>
      <c r="G138" s="1" t="s">
        <v>163</v>
      </c>
      <c r="H138">
        <v>13</v>
      </c>
      <c r="I138">
        <v>27</v>
      </c>
      <c r="J138" t="s">
        <v>166</v>
      </c>
      <c r="K138" t="str">
        <f>RIGHT(BOMCheck[[#This Row],[CircuitID]])</f>
        <v>3</v>
      </c>
      <c r="L138" s="1">
        <f>SUMIFS(I:I,J:J,BOMCheck[[#This Row],[CitcuitNumber]],H:H,7)</f>
        <v>10</v>
      </c>
      <c r="M138" s="1">
        <f>SUMIFS(I:I,J:J,BOMCheck[[#This Row],[CitcuitNumber]],G:G,"IEK-25-04")</f>
        <v>0</v>
      </c>
      <c r="N138" s="1" t="str" cm="1">
        <f t="array" ref="N138">_xlfn.TEXTJOIN(", ",TRUE,_xlfn.UNIQUE(IF(BOMCheck[[#This Row],[CitcuitNumber]]=J:J,K:K,"")))</f>
        <v>0, 1, 2, 3, 4, 5, 6, 7, 8, 9</v>
      </c>
    </row>
    <row r="139" spans="1:14" x14ac:dyDescent="0.25">
      <c r="A139">
        <v>431</v>
      </c>
      <c r="B139">
        <v>0</v>
      </c>
      <c r="C139">
        <v>0</v>
      </c>
      <c r="D139" s="1" t="s">
        <v>104</v>
      </c>
      <c r="E139" s="1" t="s">
        <v>105</v>
      </c>
      <c r="F139" t="s">
        <v>15</v>
      </c>
      <c r="G139" s="1" t="s">
        <v>45</v>
      </c>
      <c r="H139">
        <v>10</v>
      </c>
      <c r="I139">
        <v>1</v>
      </c>
      <c r="J139" t="s">
        <v>166</v>
      </c>
      <c r="K139" t="str">
        <f>RIGHT(BOMCheck[[#This Row],[CircuitID]])</f>
        <v>3</v>
      </c>
      <c r="L139" s="1">
        <f>SUMIFS(I:I,J:J,BOMCheck[[#This Row],[CitcuitNumber]],H:H,7)</f>
        <v>10</v>
      </c>
      <c r="M139" s="1">
        <f>SUMIFS(I:I,J:J,BOMCheck[[#This Row],[CitcuitNumber]],G:G,"IEK-25-04")</f>
        <v>0</v>
      </c>
      <c r="N139" s="1" t="str" cm="1">
        <f t="array" ref="N139">_xlfn.TEXTJOIN(", ",TRUE,_xlfn.UNIQUE(IF(BOMCheck[[#This Row],[CitcuitNumber]]=J:J,K:K,"")))</f>
        <v>0, 1, 2, 3, 4, 5, 6, 7, 8, 9</v>
      </c>
    </row>
    <row r="140" spans="1:14" x14ac:dyDescent="0.25">
      <c r="A140">
        <v>432</v>
      </c>
      <c r="B140">
        <v>0</v>
      </c>
      <c r="C140">
        <v>0</v>
      </c>
      <c r="D140" s="1" t="s">
        <v>106</v>
      </c>
      <c r="E140" s="1" t="s">
        <v>107</v>
      </c>
      <c r="F140" t="s">
        <v>15</v>
      </c>
      <c r="G140" s="1" t="s">
        <v>163</v>
      </c>
      <c r="H140">
        <v>13</v>
      </c>
      <c r="I140">
        <v>17</v>
      </c>
      <c r="J140" t="s">
        <v>166</v>
      </c>
      <c r="K140" t="str">
        <f>RIGHT(BOMCheck[[#This Row],[CircuitID]])</f>
        <v>4</v>
      </c>
      <c r="L140" s="1">
        <f>SUMIFS(I:I,J:J,BOMCheck[[#This Row],[CitcuitNumber]],H:H,7)</f>
        <v>10</v>
      </c>
      <c r="M140" s="1">
        <f>SUMIFS(I:I,J:J,BOMCheck[[#This Row],[CitcuitNumber]],G:G,"IEK-25-04")</f>
        <v>0</v>
      </c>
      <c r="N140" s="1" t="str" cm="1">
        <f t="array" ref="N140">_xlfn.TEXTJOIN(", ",TRUE,_xlfn.UNIQUE(IF(BOMCheck[[#This Row],[CitcuitNumber]]=J:J,K:K,"")))</f>
        <v>0, 1, 2, 3, 4, 5, 6, 7, 8, 9</v>
      </c>
    </row>
    <row r="141" spans="1:14" x14ac:dyDescent="0.25">
      <c r="A141">
        <v>432</v>
      </c>
      <c r="B141">
        <v>0</v>
      </c>
      <c r="C141">
        <v>0</v>
      </c>
      <c r="D141" s="1" t="s">
        <v>106</v>
      </c>
      <c r="E141" s="1" t="s">
        <v>107</v>
      </c>
      <c r="F141" t="s">
        <v>15</v>
      </c>
      <c r="G141" s="1" t="s">
        <v>43</v>
      </c>
      <c r="H141">
        <v>10</v>
      </c>
      <c r="I141">
        <v>1</v>
      </c>
      <c r="J141" t="s">
        <v>166</v>
      </c>
      <c r="K141" t="str">
        <f>RIGHT(BOMCheck[[#This Row],[CircuitID]])</f>
        <v>4</v>
      </c>
      <c r="L141" s="1">
        <f>SUMIFS(I:I,J:J,BOMCheck[[#This Row],[CitcuitNumber]],H:H,7)</f>
        <v>10</v>
      </c>
      <c r="M141" s="1">
        <f>SUMIFS(I:I,J:J,BOMCheck[[#This Row],[CitcuitNumber]],G:G,"IEK-25-04")</f>
        <v>0</v>
      </c>
      <c r="N141" s="1" t="str" cm="1">
        <f t="array" ref="N141">_xlfn.TEXTJOIN(", ",TRUE,_xlfn.UNIQUE(IF(BOMCheck[[#This Row],[CitcuitNumber]]=J:J,K:K,"")))</f>
        <v>0, 1, 2, 3, 4, 5, 6, 7, 8, 9</v>
      </c>
    </row>
    <row r="142" spans="1:14" x14ac:dyDescent="0.25">
      <c r="A142">
        <v>432</v>
      </c>
      <c r="B142">
        <v>0</v>
      </c>
      <c r="C142">
        <v>0</v>
      </c>
      <c r="D142" s="1" t="s">
        <v>106</v>
      </c>
      <c r="E142" s="1" t="s">
        <v>107</v>
      </c>
      <c r="F142" t="s">
        <v>15</v>
      </c>
      <c r="G142" s="1" t="s">
        <v>167</v>
      </c>
      <c r="H142">
        <v>1</v>
      </c>
      <c r="I142">
        <v>197.18</v>
      </c>
      <c r="J142" t="s">
        <v>166</v>
      </c>
      <c r="K142" t="str">
        <f>RIGHT(BOMCheck[[#This Row],[CircuitID]])</f>
        <v>4</v>
      </c>
      <c r="L142" s="1">
        <f>SUMIFS(I:I,J:J,BOMCheck[[#This Row],[CitcuitNumber]],H:H,7)</f>
        <v>10</v>
      </c>
      <c r="M142" s="1">
        <f>SUMIFS(I:I,J:J,BOMCheck[[#This Row],[CitcuitNumber]],G:G,"IEK-25-04")</f>
        <v>0</v>
      </c>
      <c r="N142" s="1" t="str" cm="1">
        <f t="array" ref="N142">_xlfn.TEXTJOIN(", ",TRUE,_xlfn.UNIQUE(IF(BOMCheck[[#This Row],[CitcuitNumber]]=J:J,K:K,"")))</f>
        <v>0, 1, 2, 3, 4, 5, 6, 7, 8, 9</v>
      </c>
    </row>
    <row r="143" spans="1:14" x14ac:dyDescent="0.25">
      <c r="A143">
        <v>432</v>
      </c>
      <c r="B143">
        <v>0</v>
      </c>
      <c r="C143">
        <v>0</v>
      </c>
      <c r="D143" s="1" t="s">
        <v>106</v>
      </c>
      <c r="E143" s="1" t="s">
        <v>107</v>
      </c>
      <c r="F143" t="s">
        <v>15</v>
      </c>
      <c r="G143" s="1" t="s">
        <v>44</v>
      </c>
      <c r="H143">
        <v>11</v>
      </c>
      <c r="I143">
        <v>7.3</v>
      </c>
      <c r="J143" t="s">
        <v>166</v>
      </c>
      <c r="K143" t="str">
        <f>RIGHT(BOMCheck[[#This Row],[CircuitID]])</f>
        <v>4</v>
      </c>
      <c r="L143" s="1">
        <f>SUMIFS(I:I,J:J,BOMCheck[[#This Row],[CitcuitNumber]],H:H,7)</f>
        <v>10</v>
      </c>
      <c r="M143" s="1">
        <f>SUMIFS(I:I,J:J,BOMCheck[[#This Row],[CitcuitNumber]],G:G,"IEK-25-04")</f>
        <v>0</v>
      </c>
      <c r="N143" s="1" t="str" cm="1">
        <f t="array" ref="N143">_xlfn.TEXTJOIN(", ",TRUE,_xlfn.UNIQUE(IF(BOMCheck[[#This Row],[CitcuitNumber]]=J:J,K:K,"")))</f>
        <v>0, 1, 2, 3, 4, 5, 6, 7, 8, 9</v>
      </c>
    </row>
    <row r="144" spans="1:14" x14ac:dyDescent="0.25">
      <c r="A144">
        <v>432</v>
      </c>
      <c r="B144">
        <v>0</v>
      </c>
      <c r="C144">
        <v>0</v>
      </c>
      <c r="D144" s="1" t="s">
        <v>106</v>
      </c>
      <c r="E144" s="1" t="s">
        <v>107</v>
      </c>
      <c r="F144" t="s">
        <v>15</v>
      </c>
      <c r="G144" s="1" t="s">
        <v>161</v>
      </c>
      <c r="H144">
        <v>4</v>
      </c>
      <c r="I144">
        <v>1</v>
      </c>
      <c r="J144" t="s">
        <v>166</v>
      </c>
      <c r="K144" t="str">
        <f>RIGHT(BOMCheck[[#This Row],[CircuitID]])</f>
        <v>4</v>
      </c>
      <c r="L144" s="1">
        <f>SUMIFS(I:I,J:J,BOMCheck[[#This Row],[CitcuitNumber]],H:H,7)</f>
        <v>10</v>
      </c>
      <c r="M144" s="1">
        <f>SUMIFS(I:I,J:J,BOMCheck[[#This Row],[CitcuitNumber]],G:G,"IEK-25-04")</f>
        <v>0</v>
      </c>
      <c r="N144" s="1" t="str" cm="1">
        <f t="array" ref="N144">_xlfn.TEXTJOIN(", ",TRUE,_xlfn.UNIQUE(IF(BOMCheck[[#This Row],[CitcuitNumber]]=J:J,K:K,"")))</f>
        <v>0, 1, 2, 3, 4, 5, 6, 7, 8, 9</v>
      </c>
    </row>
    <row r="145" spans="1:14" x14ac:dyDescent="0.25">
      <c r="A145">
        <v>432</v>
      </c>
      <c r="B145">
        <v>0</v>
      </c>
      <c r="C145">
        <v>0</v>
      </c>
      <c r="D145" s="1" t="s">
        <v>106</v>
      </c>
      <c r="E145" s="1" t="s">
        <v>107</v>
      </c>
      <c r="F145" t="s">
        <v>15</v>
      </c>
      <c r="G145" s="1" t="s">
        <v>162</v>
      </c>
      <c r="H145">
        <v>7</v>
      </c>
      <c r="I145">
        <v>1</v>
      </c>
      <c r="J145" t="s">
        <v>166</v>
      </c>
      <c r="K145" t="str">
        <f>RIGHT(BOMCheck[[#This Row],[CircuitID]])</f>
        <v>4</v>
      </c>
      <c r="L145" s="1">
        <f>SUMIFS(I:I,J:J,BOMCheck[[#This Row],[CitcuitNumber]],H:H,7)</f>
        <v>10</v>
      </c>
      <c r="M145" s="1">
        <f>SUMIFS(I:I,J:J,BOMCheck[[#This Row],[CitcuitNumber]],G:G,"IEK-25-04")</f>
        <v>0</v>
      </c>
      <c r="N145" s="1" t="str" cm="1">
        <f t="array" ref="N145">_xlfn.TEXTJOIN(", ",TRUE,_xlfn.UNIQUE(IF(BOMCheck[[#This Row],[CitcuitNumber]]=J:J,K:K,"")))</f>
        <v>0, 1, 2, 3, 4, 5, 6, 7, 8, 9</v>
      </c>
    </row>
    <row r="146" spans="1:14" x14ac:dyDescent="0.25">
      <c r="A146">
        <v>433</v>
      </c>
      <c r="B146">
        <v>0</v>
      </c>
      <c r="C146">
        <v>0</v>
      </c>
      <c r="D146" s="1" t="s">
        <v>108</v>
      </c>
      <c r="E146" s="1" t="s">
        <v>109</v>
      </c>
      <c r="F146" t="s">
        <v>15</v>
      </c>
      <c r="G146" s="1" t="s">
        <v>161</v>
      </c>
      <c r="H146">
        <v>4</v>
      </c>
      <c r="I146">
        <v>1</v>
      </c>
      <c r="J146" t="s">
        <v>166</v>
      </c>
      <c r="K146" t="str">
        <f>RIGHT(BOMCheck[[#This Row],[CircuitID]])</f>
        <v>5</v>
      </c>
      <c r="L146" s="1">
        <f>SUMIFS(I:I,J:J,BOMCheck[[#This Row],[CitcuitNumber]],H:H,7)</f>
        <v>10</v>
      </c>
      <c r="M146" s="1">
        <f>SUMIFS(I:I,J:J,BOMCheck[[#This Row],[CitcuitNumber]],G:G,"IEK-25-04")</f>
        <v>0</v>
      </c>
      <c r="N146" s="1" t="str" cm="1">
        <f t="array" ref="N146">_xlfn.TEXTJOIN(", ",TRUE,_xlfn.UNIQUE(IF(BOMCheck[[#This Row],[CitcuitNumber]]=J:J,K:K,"")))</f>
        <v>0, 1, 2, 3, 4, 5, 6, 7, 8, 9</v>
      </c>
    </row>
    <row r="147" spans="1:14" x14ac:dyDescent="0.25">
      <c r="A147">
        <v>433</v>
      </c>
      <c r="B147">
        <v>0</v>
      </c>
      <c r="C147">
        <v>0</v>
      </c>
      <c r="D147" s="1" t="s">
        <v>108</v>
      </c>
      <c r="E147" s="1" t="s">
        <v>109</v>
      </c>
      <c r="F147" t="s">
        <v>15</v>
      </c>
      <c r="G147" s="1" t="s">
        <v>163</v>
      </c>
      <c r="H147">
        <v>13</v>
      </c>
      <c r="I147">
        <v>37</v>
      </c>
      <c r="J147" t="s">
        <v>166</v>
      </c>
      <c r="K147" t="str">
        <f>RIGHT(BOMCheck[[#This Row],[CircuitID]])</f>
        <v>5</v>
      </c>
      <c r="L147" s="1">
        <f>SUMIFS(I:I,J:J,BOMCheck[[#This Row],[CitcuitNumber]],H:H,7)</f>
        <v>10</v>
      </c>
      <c r="M147" s="1">
        <f>SUMIFS(I:I,J:J,BOMCheck[[#This Row],[CitcuitNumber]],G:G,"IEK-25-04")</f>
        <v>0</v>
      </c>
      <c r="N147" s="1" t="str" cm="1">
        <f t="array" ref="N147">_xlfn.TEXTJOIN(", ",TRUE,_xlfn.UNIQUE(IF(BOMCheck[[#This Row],[CitcuitNumber]]=J:J,K:K,"")))</f>
        <v>0, 1, 2, 3, 4, 5, 6, 7, 8, 9</v>
      </c>
    </row>
    <row r="148" spans="1:14" x14ac:dyDescent="0.25">
      <c r="A148">
        <v>433</v>
      </c>
      <c r="B148">
        <v>0</v>
      </c>
      <c r="C148">
        <v>0</v>
      </c>
      <c r="D148" s="1" t="s">
        <v>108</v>
      </c>
      <c r="E148" s="1" t="s">
        <v>109</v>
      </c>
      <c r="F148" t="s">
        <v>15</v>
      </c>
      <c r="G148" s="1" t="s">
        <v>162</v>
      </c>
      <c r="H148">
        <v>7</v>
      </c>
      <c r="I148">
        <v>1</v>
      </c>
      <c r="J148" t="s">
        <v>166</v>
      </c>
      <c r="K148" t="str">
        <f>RIGHT(BOMCheck[[#This Row],[CircuitID]])</f>
        <v>5</v>
      </c>
      <c r="L148" s="1">
        <f>SUMIFS(I:I,J:J,BOMCheck[[#This Row],[CitcuitNumber]],H:H,7)</f>
        <v>10</v>
      </c>
      <c r="M148" s="1">
        <f>SUMIFS(I:I,J:J,BOMCheck[[#This Row],[CitcuitNumber]],G:G,"IEK-25-04")</f>
        <v>0</v>
      </c>
      <c r="N148" s="1" t="str" cm="1">
        <f t="array" ref="N148">_xlfn.TEXTJOIN(", ",TRUE,_xlfn.UNIQUE(IF(BOMCheck[[#This Row],[CitcuitNumber]]=J:J,K:K,"")))</f>
        <v>0, 1, 2, 3, 4, 5, 6, 7, 8, 9</v>
      </c>
    </row>
    <row r="149" spans="1:14" x14ac:dyDescent="0.25">
      <c r="A149">
        <v>433</v>
      </c>
      <c r="B149">
        <v>0</v>
      </c>
      <c r="C149">
        <v>0</v>
      </c>
      <c r="D149" s="1" t="s">
        <v>108</v>
      </c>
      <c r="E149" s="1" t="s">
        <v>109</v>
      </c>
      <c r="F149" t="s">
        <v>15</v>
      </c>
      <c r="G149" s="1" t="s">
        <v>43</v>
      </c>
      <c r="H149">
        <v>10</v>
      </c>
      <c r="I149">
        <v>1</v>
      </c>
      <c r="J149" t="s">
        <v>166</v>
      </c>
      <c r="K149" t="str">
        <f>RIGHT(BOMCheck[[#This Row],[CircuitID]])</f>
        <v>5</v>
      </c>
      <c r="L149" s="1">
        <f>SUMIFS(I:I,J:J,BOMCheck[[#This Row],[CitcuitNumber]],H:H,7)</f>
        <v>10</v>
      </c>
      <c r="M149" s="1">
        <f>SUMIFS(I:I,J:J,BOMCheck[[#This Row],[CitcuitNumber]],G:G,"IEK-25-04")</f>
        <v>0</v>
      </c>
      <c r="N149" s="1" t="str" cm="1">
        <f t="array" ref="N149">_xlfn.TEXTJOIN(", ",TRUE,_xlfn.UNIQUE(IF(BOMCheck[[#This Row],[CitcuitNumber]]=J:J,K:K,"")))</f>
        <v>0, 1, 2, 3, 4, 5, 6, 7, 8, 9</v>
      </c>
    </row>
    <row r="150" spans="1:14" x14ac:dyDescent="0.25">
      <c r="A150">
        <v>433</v>
      </c>
      <c r="B150">
        <v>0</v>
      </c>
      <c r="C150">
        <v>0</v>
      </c>
      <c r="D150" s="1" t="s">
        <v>108</v>
      </c>
      <c r="E150" s="1" t="s">
        <v>109</v>
      </c>
      <c r="F150" t="s">
        <v>15</v>
      </c>
      <c r="G150" s="1" t="s">
        <v>44</v>
      </c>
      <c r="H150">
        <v>11</v>
      </c>
      <c r="I150">
        <v>16</v>
      </c>
      <c r="J150" t="s">
        <v>166</v>
      </c>
      <c r="K150" t="str">
        <f>RIGHT(BOMCheck[[#This Row],[CircuitID]])</f>
        <v>5</v>
      </c>
      <c r="L150" s="1">
        <f>SUMIFS(I:I,J:J,BOMCheck[[#This Row],[CitcuitNumber]],H:H,7)</f>
        <v>10</v>
      </c>
      <c r="M150" s="1">
        <f>SUMIFS(I:I,J:J,BOMCheck[[#This Row],[CitcuitNumber]],G:G,"IEK-25-04")</f>
        <v>0</v>
      </c>
      <c r="N150" s="1" t="str" cm="1">
        <f t="array" ref="N150">_xlfn.TEXTJOIN(", ",TRUE,_xlfn.UNIQUE(IF(BOMCheck[[#This Row],[CitcuitNumber]]=J:J,K:K,"")))</f>
        <v>0, 1, 2, 3, 4, 5, 6, 7, 8, 9</v>
      </c>
    </row>
    <row r="151" spans="1:14" x14ac:dyDescent="0.25">
      <c r="A151">
        <v>433</v>
      </c>
      <c r="B151">
        <v>0</v>
      </c>
      <c r="C151">
        <v>0</v>
      </c>
      <c r="D151" s="1" t="s">
        <v>108</v>
      </c>
      <c r="E151" s="1" t="s">
        <v>109</v>
      </c>
      <c r="F151" t="s">
        <v>15</v>
      </c>
      <c r="G151" s="1" t="s">
        <v>167</v>
      </c>
      <c r="H151">
        <v>1</v>
      </c>
      <c r="I151">
        <v>436.02</v>
      </c>
      <c r="J151" t="s">
        <v>166</v>
      </c>
      <c r="K151" t="str">
        <f>RIGHT(BOMCheck[[#This Row],[CircuitID]])</f>
        <v>5</v>
      </c>
      <c r="L151" s="1">
        <f>SUMIFS(I:I,J:J,BOMCheck[[#This Row],[CitcuitNumber]],H:H,7)</f>
        <v>10</v>
      </c>
      <c r="M151" s="1">
        <f>SUMIFS(I:I,J:J,BOMCheck[[#This Row],[CitcuitNumber]],G:G,"IEK-25-04")</f>
        <v>0</v>
      </c>
      <c r="N151" s="1" t="str" cm="1">
        <f t="array" ref="N151">_xlfn.TEXTJOIN(", ",TRUE,_xlfn.UNIQUE(IF(BOMCheck[[#This Row],[CitcuitNumber]]=J:J,K:K,"")))</f>
        <v>0, 1, 2, 3, 4, 5, 6, 7, 8, 9</v>
      </c>
    </row>
    <row r="152" spans="1:14" x14ac:dyDescent="0.25">
      <c r="A152">
        <v>434</v>
      </c>
      <c r="B152">
        <v>0</v>
      </c>
      <c r="C152">
        <v>0</v>
      </c>
      <c r="D152" s="1" t="s">
        <v>110</v>
      </c>
      <c r="E152" s="1" t="s">
        <v>111</v>
      </c>
      <c r="F152" t="s">
        <v>15</v>
      </c>
      <c r="G152" s="1" t="s">
        <v>162</v>
      </c>
      <c r="H152">
        <v>7</v>
      </c>
      <c r="I152">
        <v>1</v>
      </c>
      <c r="J152" t="s">
        <v>166</v>
      </c>
      <c r="K152" t="str">
        <f>RIGHT(BOMCheck[[#This Row],[CircuitID]])</f>
        <v>6</v>
      </c>
      <c r="L152" s="1">
        <f>SUMIFS(I:I,J:J,BOMCheck[[#This Row],[CitcuitNumber]],H:H,7)</f>
        <v>10</v>
      </c>
      <c r="M152" s="1">
        <f>SUMIFS(I:I,J:J,BOMCheck[[#This Row],[CitcuitNumber]],G:G,"IEK-25-04")</f>
        <v>0</v>
      </c>
      <c r="N152" s="1" t="str" cm="1">
        <f t="array" ref="N152">_xlfn.TEXTJOIN(", ",TRUE,_xlfn.UNIQUE(IF(BOMCheck[[#This Row],[CitcuitNumber]]=J:J,K:K,"")))</f>
        <v>0, 1, 2, 3, 4, 5, 6, 7, 8, 9</v>
      </c>
    </row>
    <row r="153" spans="1:14" x14ac:dyDescent="0.25">
      <c r="A153">
        <v>434</v>
      </c>
      <c r="B153">
        <v>0</v>
      </c>
      <c r="C153">
        <v>0</v>
      </c>
      <c r="D153" s="1" t="s">
        <v>110</v>
      </c>
      <c r="E153" s="1" t="s">
        <v>111</v>
      </c>
      <c r="F153" t="s">
        <v>15</v>
      </c>
      <c r="G153" s="1" t="s">
        <v>44</v>
      </c>
      <c r="H153">
        <v>11</v>
      </c>
      <c r="I153">
        <v>0.7</v>
      </c>
      <c r="J153" t="s">
        <v>166</v>
      </c>
      <c r="K153" t="str">
        <f>RIGHT(BOMCheck[[#This Row],[CircuitID]])</f>
        <v>6</v>
      </c>
      <c r="L153" s="1">
        <f>SUMIFS(I:I,J:J,BOMCheck[[#This Row],[CitcuitNumber]],H:H,7)</f>
        <v>10</v>
      </c>
      <c r="M153" s="1">
        <f>SUMIFS(I:I,J:J,BOMCheck[[#This Row],[CitcuitNumber]],G:G,"IEK-25-04")</f>
        <v>0</v>
      </c>
      <c r="N153" s="1" t="str" cm="1">
        <f t="array" ref="N153">_xlfn.TEXTJOIN(", ",TRUE,_xlfn.UNIQUE(IF(BOMCheck[[#This Row],[CitcuitNumber]]=J:J,K:K,"")))</f>
        <v>0, 1, 2, 3, 4, 5, 6, 7, 8, 9</v>
      </c>
    </row>
    <row r="154" spans="1:14" x14ac:dyDescent="0.25">
      <c r="A154">
        <v>434</v>
      </c>
      <c r="B154">
        <v>0</v>
      </c>
      <c r="C154">
        <v>0</v>
      </c>
      <c r="D154" s="1" t="s">
        <v>110</v>
      </c>
      <c r="E154" s="1" t="s">
        <v>111</v>
      </c>
      <c r="F154" t="s">
        <v>15</v>
      </c>
      <c r="G154" s="1" t="s">
        <v>163</v>
      </c>
      <c r="H154">
        <v>13</v>
      </c>
      <c r="I154">
        <v>2</v>
      </c>
      <c r="J154" t="s">
        <v>166</v>
      </c>
      <c r="K154" t="str">
        <f>RIGHT(BOMCheck[[#This Row],[CircuitID]])</f>
        <v>6</v>
      </c>
      <c r="L154" s="1">
        <f>SUMIFS(I:I,J:J,BOMCheck[[#This Row],[CitcuitNumber]],H:H,7)</f>
        <v>10</v>
      </c>
      <c r="M154" s="1">
        <f>SUMIFS(I:I,J:J,BOMCheck[[#This Row],[CitcuitNumber]],G:G,"IEK-25-04")</f>
        <v>0</v>
      </c>
      <c r="N154" s="1" t="str" cm="1">
        <f t="array" ref="N154">_xlfn.TEXTJOIN(", ",TRUE,_xlfn.UNIQUE(IF(BOMCheck[[#This Row],[CitcuitNumber]]=J:J,K:K,"")))</f>
        <v>0, 1, 2, 3, 4, 5, 6, 7, 8, 9</v>
      </c>
    </row>
    <row r="155" spans="1:14" x14ac:dyDescent="0.25">
      <c r="A155">
        <v>434</v>
      </c>
      <c r="B155">
        <v>0</v>
      </c>
      <c r="C155">
        <v>0</v>
      </c>
      <c r="D155" s="1" t="s">
        <v>110</v>
      </c>
      <c r="E155" s="1" t="s">
        <v>111</v>
      </c>
      <c r="F155" t="s">
        <v>15</v>
      </c>
      <c r="G155" s="1" t="s">
        <v>43</v>
      </c>
      <c r="H155">
        <v>10</v>
      </c>
      <c r="I155">
        <v>1</v>
      </c>
      <c r="J155" t="s">
        <v>166</v>
      </c>
      <c r="K155" t="str">
        <f>RIGHT(BOMCheck[[#This Row],[CircuitID]])</f>
        <v>6</v>
      </c>
      <c r="L155" s="1">
        <f>SUMIFS(I:I,J:J,BOMCheck[[#This Row],[CitcuitNumber]],H:H,7)</f>
        <v>10</v>
      </c>
      <c r="M155" s="1">
        <f>SUMIFS(I:I,J:J,BOMCheck[[#This Row],[CitcuitNumber]],G:G,"IEK-25-04")</f>
        <v>0</v>
      </c>
      <c r="N155" s="1" t="str" cm="1">
        <f t="array" ref="N155">_xlfn.TEXTJOIN(", ",TRUE,_xlfn.UNIQUE(IF(BOMCheck[[#This Row],[CitcuitNumber]]=J:J,K:K,"")))</f>
        <v>0, 1, 2, 3, 4, 5, 6, 7, 8, 9</v>
      </c>
    </row>
    <row r="156" spans="1:14" x14ac:dyDescent="0.25">
      <c r="A156">
        <v>434</v>
      </c>
      <c r="B156">
        <v>0</v>
      </c>
      <c r="C156">
        <v>0</v>
      </c>
      <c r="D156" s="1" t="s">
        <v>110</v>
      </c>
      <c r="E156" s="1" t="s">
        <v>111</v>
      </c>
      <c r="F156" t="s">
        <v>15</v>
      </c>
      <c r="G156" s="1" t="s">
        <v>167</v>
      </c>
      <c r="H156">
        <v>1</v>
      </c>
      <c r="I156">
        <v>42.65</v>
      </c>
      <c r="J156" t="s">
        <v>166</v>
      </c>
      <c r="K156" t="str">
        <f>RIGHT(BOMCheck[[#This Row],[CircuitID]])</f>
        <v>6</v>
      </c>
      <c r="L156" s="1">
        <f>SUMIFS(I:I,J:J,BOMCheck[[#This Row],[CitcuitNumber]],H:H,7)</f>
        <v>10</v>
      </c>
      <c r="M156" s="1">
        <f>SUMIFS(I:I,J:J,BOMCheck[[#This Row],[CitcuitNumber]],G:G,"IEK-25-04")</f>
        <v>0</v>
      </c>
      <c r="N156" s="1" t="str" cm="1">
        <f t="array" ref="N156">_xlfn.TEXTJOIN(", ",TRUE,_xlfn.UNIQUE(IF(BOMCheck[[#This Row],[CitcuitNumber]]=J:J,K:K,"")))</f>
        <v>0, 1, 2, 3, 4, 5, 6, 7, 8, 9</v>
      </c>
    </row>
    <row r="157" spans="1:14" x14ac:dyDescent="0.25">
      <c r="A157">
        <v>434</v>
      </c>
      <c r="B157">
        <v>0</v>
      </c>
      <c r="C157">
        <v>0</v>
      </c>
      <c r="D157" s="1" t="s">
        <v>110</v>
      </c>
      <c r="E157" s="1" t="s">
        <v>111</v>
      </c>
      <c r="F157" t="s">
        <v>15</v>
      </c>
      <c r="G157" s="1" t="s">
        <v>161</v>
      </c>
      <c r="H157">
        <v>4</v>
      </c>
      <c r="I157">
        <v>1</v>
      </c>
      <c r="J157" t="s">
        <v>166</v>
      </c>
      <c r="K157" t="str">
        <f>RIGHT(BOMCheck[[#This Row],[CircuitID]])</f>
        <v>6</v>
      </c>
      <c r="L157" s="1">
        <f>SUMIFS(I:I,J:J,BOMCheck[[#This Row],[CitcuitNumber]],H:H,7)</f>
        <v>10</v>
      </c>
      <c r="M157" s="1">
        <f>SUMIFS(I:I,J:J,BOMCheck[[#This Row],[CitcuitNumber]],G:G,"IEK-25-04")</f>
        <v>0</v>
      </c>
      <c r="N157" s="1" t="str" cm="1">
        <f t="array" ref="N157">_xlfn.TEXTJOIN(", ",TRUE,_xlfn.UNIQUE(IF(BOMCheck[[#This Row],[CitcuitNumber]]=J:J,K:K,"")))</f>
        <v>0, 1, 2, 3, 4, 5, 6, 7, 8, 9</v>
      </c>
    </row>
    <row r="158" spans="1:14" x14ac:dyDescent="0.25">
      <c r="A158">
        <v>435</v>
      </c>
      <c r="B158">
        <v>0</v>
      </c>
      <c r="C158">
        <v>0</v>
      </c>
      <c r="D158" s="1" t="s">
        <v>110</v>
      </c>
      <c r="E158" s="1" t="s">
        <v>112</v>
      </c>
      <c r="F158" t="s">
        <v>15</v>
      </c>
      <c r="G158" s="1" t="s">
        <v>44</v>
      </c>
      <c r="H158">
        <v>11</v>
      </c>
      <c r="I158">
        <v>0.9</v>
      </c>
      <c r="J158" t="s">
        <v>166</v>
      </c>
      <c r="K158" t="str">
        <f>RIGHT(BOMCheck[[#This Row],[CircuitID]])</f>
        <v>7</v>
      </c>
      <c r="L158" s="1">
        <f>SUMIFS(I:I,J:J,BOMCheck[[#This Row],[CitcuitNumber]],H:H,7)</f>
        <v>10</v>
      </c>
      <c r="M158" s="1">
        <f>SUMIFS(I:I,J:J,BOMCheck[[#This Row],[CitcuitNumber]],G:G,"IEK-25-04")</f>
        <v>0</v>
      </c>
      <c r="N158" s="1" t="str" cm="1">
        <f t="array" ref="N158">_xlfn.TEXTJOIN(", ",TRUE,_xlfn.UNIQUE(IF(BOMCheck[[#This Row],[CitcuitNumber]]=J:J,K:K,"")))</f>
        <v>0, 1, 2, 3, 4, 5, 6, 7, 8, 9</v>
      </c>
    </row>
    <row r="159" spans="1:14" x14ac:dyDescent="0.25">
      <c r="A159">
        <v>435</v>
      </c>
      <c r="B159">
        <v>0</v>
      </c>
      <c r="C159">
        <v>0</v>
      </c>
      <c r="D159" s="1" t="s">
        <v>110</v>
      </c>
      <c r="E159" s="1" t="s">
        <v>112</v>
      </c>
      <c r="F159" t="s">
        <v>15</v>
      </c>
      <c r="G159" s="1" t="s">
        <v>45</v>
      </c>
      <c r="H159">
        <v>10</v>
      </c>
      <c r="I159">
        <v>1</v>
      </c>
      <c r="J159" t="s">
        <v>166</v>
      </c>
      <c r="K159" t="str">
        <f>RIGHT(BOMCheck[[#This Row],[CircuitID]])</f>
        <v>7</v>
      </c>
      <c r="L159" s="1">
        <f>SUMIFS(I:I,J:J,BOMCheck[[#This Row],[CitcuitNumber]],H:H,7)</f>
        <v>10</v>
      </c>
      <c r="M159" s="1">
        <f>SUMIFS(I:I,J:J,BOMCheck[[#This Row],[CitcuitNumber]],G:G,"IEK-25-04")</f>
        <v>0</v>
      </c>
      <c r="N159" s="1" t="str" cm="1">
        <f t="array" ref="N159">_xlfn.TEXTJOIN(", ",TRUE,_xlfn.UNIQUE(IF(BOMCheck[[#This Row],[CitcuitNumber]]=J:J,K:K,"")))</f>
        <v>0, 1, 2, 3, 4, 5, 6, 7, 8, 9</v>
      </c>
    </row>
    <row r="160" spans="1:14" x14ac:dyDescent="0.25">
      <c r="A160">
        <v>435</v>
      </c>
      <c r="B160">
        <v>0</v>
      </c>
      <c r="C160">
        <v>0</v>
      </c>
      <c r="D160" s="1" t="s">
        <v>110</v>
      </c>
      <c r="E160" s="1" t="s">
        <v>112</v>
      </c>
      <c r="F160" t="s">
        <v>15</v>
      </c>
      <c r="G160" s="1" t="s">
        <v>162</v>
      </c>
      <c r="H160">
        <v>7</v>
      </c>
      <c r="I160">
        <v>1</v>
      </c>
      <c r="J160" t="s">
        <v>166</v>
      </c>
      <c r="K160" t="str">
        <f>RIGHT(BOMCheck[[#This Row],[CircuitID]])</f>
        <v>7</v>
      </c>
      <c r="L160" s="1">
        <f>SUMIFS(I:I,J:J,BOMCheck[[#This Row],[CitcuitNumber]],H:H,7)</f>
        <v>10</v>
      </c>
      <c r="M160" s="1">
        <f>SUMIFS(I:I,J:J,BOMCheck[[#This Row],[CitcuitNumber]],G:G,"IEK-25-04")</f>
        <v>0</v>
      </c>
      <c r="N160" s="1" t="str" cm="1">
        <f t="array" ref="N160">_xlfn.TEXTJOIN(", ",TRUE,_xlfn.UNIQUE(IF(BOMCheck[[#This Row],[CitcuitNumber]]=J:J,K:K,"")))</f>
        <v>0, 1, 2, 3, 4, 5, 6, 7, 8, 9</v>
      </c>
    </row>
    <row r="161" spans="1:14" x14ac:dyDescent="0.25">
      <c r="A161">
        <v>435</v>
      </c>
      <c r="B161">
        <v>0</v>
      </c>
      <c r="C161">
        <v>0</v>
      </c>
      <c r="D161" s="1" t="s">
        <v>110</v>
      </c>
      <c r="E161" s="1" t="s">
        <v>112</v>
      </c>
      <c r="F161" t="s">
        <v>15</v>
      </c>
      <c r="G161" s="1" t="s">
        <v>167</v>
      </c>
      <c r="H161">
        <v>1</v>
      </c>
      <c r="I161">
        <v>89.24</v>
      </c>
      <c r="J161" t="s">
        <v>166</v>
      </c>
      <c r="K161" t="str">
        <f>RIGHT(BOMCheck[[#This Row],[CircuitID]])</f>
        <v>7</v>
      </c>
      <c r="L161" s="1">
        <f>SUMIFS(I:I,J:J,BOMCheck[[#This Row],[CitcuitNumber]],H:H,7)</f>
        <v>10</v>
      </c>
      <c r="M161" s="1">
        <f>SUMIFS(I:I,J:J,BOMCheck[[#This Row],[CitcuitNumber]],G:G,"IEK-25-04")</f>
        <v>0</v>
      </c>
      <c r="N161" s="1" t="str" cm="1">
        <f t="array" ref="N161">_xlfn.TEXTJOIN(", ",TRUE,_xlfn.UNIQUE(IF(BOMCheck[[#This Row],[CitcuitNumber]]=J:J,K:K,"")))</f>
        <v>0, 1, 2, 3, 4, 5, 6, 7, 8, 9</v>
      </c>
    </row>
    <row r="162" spans="1:14" x14ac:dyDescent="0.25">
      <c r="A162">
        <v>435</v>
      </c>
      <c r="B162">
        <v>0</v>
      </c>
      <c r="C162">
        <v>0</v>
      </c>
      <c r="D162" s="1" t="s">
        <v>110</v>
      </c>
      <c r="E162" s="1" t="s">
        <v>112</v>
      </c>
      <c r="F162" t="s">
        <v>15</v>
      </c>
      <c r="G162" s="1" t="s">
        <v>163</v>
      </c>
      <c r="H162">
        <v>13</v>
      </c>
      <c r="I162">
        <v>7</v>
      </c>
      <c r="J162" t="s">
        <v>166</v>
      </c>
      <c r="K162" t="str">
        <f>RIGHT(BOMCheck[[#This Row],[CircuitID]])</f>
        <v>7</v>
      </c>
      <c r="L162" s="1">
        <f>SUMIFS(I:I,J:J,BOMCheck[[#This Row],[CitcuitNumber]],H:H,7)</f>
        <v>10</v>
      </c>
      <c r="M162" s="1">
        <f>SUMIFS(I:I,J:J,BOMCheck[[#This Row],[CitcuitNumber]],G:G,"IEK-25-04")</f>
        <v>0</v>
      </c>
      <c r="N162" s="1" t="str" cm="1">
        <f t="array" ref="N162">_xlfn.TEXTJOIN(", ",TRUE,_xlfn.UNIQUE(IF(BOMCheck[[#This Row],[CitcuitNumber]]=J:J,K:K,"")))</f>
        <v>0, 1, 2, 3, 4, 5, 6, 7, 8, 9</v>
      </c>
    </row>
    <row r="163" spans="1:14" x14ac:dyDescent="0.25">
      <c r="A163">
        <v>435</v>
      </c>
      <c r="B163">
        <v>0</v>
      </c>
      <c r="C163">
        <v>0</v>
      </c>
      <c r="D163" s="1" t="s">
        <v>110</v>
      </c>
      <c r="E163" s="1" t="s">
        <v>112</v>
      </c>
      <c r="F163" t="s">
        <v>15</v>
      </c>
      <c r="G163" s="1" t="s">
        <v>168</v>
      </c>
      <c r="H163">
        <v>4</v>
      </c>
      <c r="I163">
        <v>1</v>
      </c>
      <c r="J163" t="s">
        <v>166</v>
      </c>
      <c r="K163" t="str">
        <f>RIGHT(BOMCheck[[#This Row],[CircuitID]])</f>
        <v>7</v>
      </c>
      <c r="L163" s="1">
        <f>SUMIFS(I:I,J:J,BOMCheck[[#This Row],[CitcuitNumber]],H:H,7)</f>
        <v>10</v>
      </c>
      <c r="M163" s="1">
        <f>SUMIFS(I:I,J:J,BOMCheck[[#This Row],[CitcuitNumber]],G:G,"IEK-25-04")</f>
        <v>0</v>
      </c>
      <c r="N163" s="1" t="str" cm="1">
        <f t="array" ref="N163">_xlfn.TEXTJOIN(", ",TRUE,_xlfn.UNIQUE(IF(BOMCheck[[#This Row],[CitcuitNumber]]=J:J,K:K,"")))</f>
        <v>0, 1, 2, 3, 4, 5, 6, 7, 8, 9</v>
      </c>
    </row>
    <row r="164" spans="1:14" x14ac:dyDescent="0.25">
      <c r="A164">
        <v>435</v>
      </c>
      <c r="B164">
        <v>0</v>
      </c>
      <c r="C164">
        <v>0</v>
      </c>
      <c r="D164" s="1" t="s">
        <v>110</v>
      </c>
      <c r="E164" s="1" t="s">
        <v>112</v>
      </c>
      <c r="F164" t="s">
        <v>15</v>
      </c>
      <c r="G164" s="1" t="s">
        <v>161</v>
      </c>
      <c r="H164">
        <v>4</v>
      </c>
      <c r="I164">
        <v>1</v>
      </c>
      <c r="J164" t="s">
        <v>166</v>
      </c>
      <c r="K164" t="str">
        <f>RIGHT(BOMCheck[[#This Row],[CircuitID]])</f>
        <v>7</v>
      </c>
      <c r="L164" s="1">
        <f>SUMIFS(I:I,J:J,BOMCheck[[#This Row],[CitcuitNumber]],H:H,7)</f>
        <v>10</v>
      </c>
      <c r="M164" s="1">
        <f>SUMIFS(I:I,J:J,BOMCheck[[#This Row],[CitcuitNumber]],G:G,"IEK-25-04")</f>
        <v>0</v>
      </c>
      <c r="N164" s="1" t="str" cm="1">
        <f t="array" ref="N164">_xlfn.TEXTJOIN(", ",TRUE,_xlfn.UNIQUE(IF(BOMCheck[[#This Row],[CitcuitNumber]]=J:J,K:K,"")))</f>
        <v>0, 1, 2, 3, 4, 5, 6, 7, 8, 9</v>
      </c>
    </row>
    <row r="165" spans="1:14" x14ac:dyDescent="0.25">
      <c r="A165">
        <v>436</v>
      </c>
      <c r="B165">
        <v>0</v>
      </c>
      <c r="C165">
        <v>0</v>
      </c>
      <c r="D165" s="1" t="s">
        <v>113</v>
      </c>
      <c r="E165" s="1" t="s">
        <v>114</v>
      </c>
      <c r="F165" t="s">
        <v>15</v>
      </c>
      <c r="G165" s="1" t="s">
        <v>163</v>
      </c>
      <c r="H165">
        <v>13</v>
      </c>
      <c r="I165">
        <v>2</v>
      </c>
      <c r="J165" t="s">
        <v>166</v>
      </c>
      <c r="K165" t="str">
        <f>RIGHT(BOMCheck[[#This Row],[CircuitID]])</f>
        <v>8</v>
      </c>
      <c r="L165" s="1">
        <f>SUMIFS(I:I,J:J,BOMCheck[[#This Row],[CitcuitNumber]],H:H,7)</f>
        <v>10</v>
      </c>
      <c r="M165" s="1">
        <f>SUMIFS(I:I,J:J,BOMCheck[[#This Row],[CitcuitNumber]],G:G,"IEK-25-04")</f>
        <v>0</v>
      </c>
      <c r="N165" s="1" t="str" cm="1">
        <f t="array" ref="N165">_xlfn.TEXTJOIN(", ",TRUE,_xlfn.UNIQUE(IF(BOMCheck[[#This Row],[CitcuitNumber]]=J:J,K:K,"")))</f>
        <v>0, 1, 2, 3, 4, 5, 6, 7, 8, 9</v>
      </c>
    </row>
    <row r="166" spans="1:14" x14ac:dyDescent="0.25">
      <c r="A166">
        <v>436</v>
      </c>
      <c r="B166">
        <v>0</v>
      </c>
      <c r="C166">
        <v>0</v>
      </c>
      <c r="D166" s="1" t="s">
        <v>113</v>
      </c>
      <c r="E166" s="1" t="s">
        <v>114</v>
      </c>
      <c r="F166" t="s">
        <v>15</v>
      </c>
      <c r="G166" s="1" t="s">
        <v>45</v>
      </c>
      <c r="H166">
        <v>10</v>
      </c>
      <c r="I166">
        <v>1</v>
      </c>
      <c r="J166" t="s">
        <v>166</v>
      </c>
      <c r="K166" t="str">
        <f>RIGHT(BOMCheck[[#This Row],[CircuitID]])</f>
        <v>8</v>
      </c>
      <c r="L166" s="1">
        <f>SUMIFS(I:I,J:J,BOMCheck[[#This Row],[CitcuitNumber]],H:H,7)</f>
        <v>10</v>
      </c>
      <c r="M166" s="1">
        <f>SUMIFS(I:I,J:J,BOMCheck[[#This Row],[CitcuitNumber]],G:G,"IEK-25-04")</f>
        <v>0</v>
      </c>
      <c r="N166" s="1" t="str" cm="1">
        <f t="array" ref="N166">_xlfn.TEXTJOIN(", ",TRUE,_xlfn.UNIQUE(IF(BOMCheck[[#This Row],[CitcuitNumber]]=J:J,K:K,"")))</f>
        <v>0, 1, 2, 3, 4, 5, 6, 7, 8, 9</v>
      </c>
    </row>
    <row r="167" spans="1:14" x14ac:dyDescent="0.25">
      <c r="A167">
        <v>436</v>
      </c>
      <c r="B167">
        <v>0</v>
      </c>
      <c r="C167">
        <v>0</v>
      </c>
      <c r="D167" s="1" t="s">
        <v>113</v>
      </c>
      <c r="E167" s="1" t="s">
        <v>114</v>
      </c>
      <c r="F167" t="s">
        <v>15</v>
      </c>
      <c r="G167" s="1" t="s">
        <v>44</v>
      </c>
      <c r="H167">
        <v>11</v>
      </c>
      <c r="I167">
        <v>0.5</v>
      </c>
      <c r="J167" t="s">
        <v>166</v>
      </c>
      <c r="K167" t="str">
        <f>RIGHT(BOMCheck[[#This Row],[CircuitID]])</f>
        <v>8</v>
      </c>
      <c r="L167" s="1">
        <f>SUMIFS(I:I,J:J,BOMCheck[[#This Row],[CitcuitNumber]],H:H,7)</f>
        <v>10</v>
      </c>
      <c r="M167" s="1">
        <f>SUMIFS(I:I,J:J,BOMCheck[[#This Row],[CitcuitNumber]],G:G,"IEK-25-04")</f>
        <v>0</v>
      </c>
      <c r="N167" s="1" t="str" cm="1">
        <f t="array" ref="N167">_xlfn.TEXTJOIN(", ",TRUE,_xlfn.UNIQUE(IF(BOMCheck[[#This Row],[CitcuitNumber]]=J:J,K:K,"")))</f>
        <v>0, 1, 2, 3, 4, 5, 6, 7, 8, 9</v>
      </c>
    </row>
    <row r="168" spans="1:14" x14ac:dyDescent="0.25">
      <c r="A168">
        <v>436</v>
      </c>
      <c r="B168">
        <v>0</v>
      </c>
      <c r="C168">
        <v>0</v>
      </c>
      <c r="D168" s="1" t="s">
        <v>113</v>
      </c>
      <c r="E168" s="1" t="s">
        <v>114</v>
      </c>
      <c r="F168" t="s">
        <v>15</v>
      </c>
      <c r="G168" s="1" t="s">
        <v>162</v>
      </c>
      <c r="H168">
        <v>7</v>
      </c>
      <c r="I168">
        <v>1</v>
      </c>
      <c r="J168" t="s">
        <v>166</v>
      </c>
      <c r="K168" t="str">
        <f>RIGHT(BOMCheck[[#This Row],[CircuitID]])</f>
        <v>8</v>
      </c>
      <c r="L168" s="1">
        <f>SUMIFS(I:I,J:J,BOMCheck[[#This Row],[CitcuitNumber]],H:H,7)</f>
        <v>10</v>
      </c>
      <c r="M168" s="1">
        <f>SUMIFS(I:I,J:J,BOMCheck[[#This Row],[CitcuitNumber]],G:G,"IEK-25-04")</f>
        <v>0</v>
      </c>
      <c r="N168" s="1" t="str" cm="1">
        <f t="array" ref="N168">_xlfn.TEXTJOIN(", ",TRUE,_xlfn.UNIQUE(IF(BOMCheck[[#This Row],[CitcuitNumber]]=J:J,K:K,"")))</f>
        <v>0, 1, 2, 3, 4, 5, 6, 7, 8, 9</v>
      </c>
    </row>
    <row r="169" spans="1:14" x14ac:dyDescent="0.25">
      <c r="A169">
        <v>436</v>
      </c>
      <c r="B169">
        <v>0</v>
      </c>
      <c r="C169">
        <v>0</v>
      </c>
      <c r="D169" s="1" t="s">
        <v>113</v>
      </c>
      <c r="E169" s="1" t="s">
        <v>114</v>
      </c>
      <c r="F169" t="s">
        <v>15</v>
      </c>
      <c r="G169" s="1" t="s">
        <v>161</v>
      </c>
      <c r="H169">
        <v>4</v>
      </c>
      <c r="I169">
        <v>1</v>
      </c>
      <c r="J169" t="s">
        <v>166</v>
      </c>
      <c r="K169" t="str">
        <f>RIGHT(BOMCheck[[#This Row],[CircuitID]])</f>
        <v>8</v>
      </c>
      <c r="L169" s="1">
        <f>SUMIFS(I:I,J:J,BOMCheck[[#This Row],[CitcuitNumber]],H:H,7)</f>
        <v>10</v>
      </c>
      <c r="M169" s="1">
        <f>SUMIFS(I:I,J:J,BOMCheck[[#This Row],[CitcuitNumber]],G:G,"IEK-25-04")</f>
        <v>0</v>
      </c>
      <c r="N169" s="1" t="str" cm="1">
        <f t="array" ref="N169">_xlfn.TEXTJOIN(", ",TRUE,_xlfn.UNIQUE(IF(BOMCheck[[#This Row],[CitcuitNumber]]=J:J,K:K,"")))</f>
        <v>0, 1, 2, 3, 4, 5, 6, 7, 8, 9</v>
      </c>
    </row>
    <row r="170" spans="1:14" x14ac:dyDescent="0.25">
      <c r="A170">
        <v>436</v>
      </c>
      <c r="B170">
        <v>0</v>
      </c>
      <c r="C170">
        <v>0</v>
      </c>
      <c r="D170" s="1" t="s">
        <v>113</v>
      </c>
      <c r="E170" s="1" t="s">
        <v>114</v>
      </c>
      <c r="F170" t="s">
        <v>15</v>
      </c>
      <c r="G170" s="1" t="s">
        <v>167</v>
      </c>
      <c r="H170">
        <v>1</v>
      </c>
      <c r="I170">
        <v>34.119999999999997</v>
      </c>
      <c r="J170" t="s">
        <v>166</v>
      </c>
      <c r="K170" t="str">
        <f>RIGHT(BOMCheck[[#This Row],[CircuitID]])</f>
        <v>8</v>
      </c>
      <c r="L170" s="1">
        <f>SUMIFS(I:I,J:J,BOMCheck[[#This Row],[CitcuitNumber]],H:H,7)</f>
        <v>10</v>
      </c>
      <c r="M170" s="1">
        <f>SUMIFS(I:I,J:J,BOMCheck[[#This Row],[CitcuitNumber]],G:G,"IEK-25-04")</f>
        <v>0</v>
      </c>
      <c r="N170" s="1" t="str" cm="1">
        <f t="array" ref="N170">_xlfn.TEXTJOIN(", ",TRUE,_xlfn.UNIQUE(IF(BOMCheck[[#This Row],[CitcuitNumber]]=J:J,K:K,"")))</f>
        <v>0, 1, 2, 3, 4, 5, 6, 7, 8, 9</v>
      </c>
    </row>
    <row r="171" spans="1:14" x14ac:dyDescent="0.25">
      <c r="A171">
        <v>437</v>
      </c>
      <c r="B171">
        <v>0</v>
      </c>
      <c r="C171">
        <v>0</v>
      </c>
      <c r="D171" s="1" t="s">
        <v>115</v>
      </c>
      <c r="E171" s="1" t="s">
        <v>116</v>
      </c>
      <c r="F171" t="s">
        <v>15</v>
      </c>
      <c r="G171" s="1" t="s">
        <v>167</v>
      </c>
      <c r="H171">
        <v>1</v>
      </c>
      <c r="I171">
        <v>34.119999999999997</v>
      </c>
      <c r="J171" t="s">
        <v>166</v>
      </c>
      <c r="K171" t="str">
        <f>RIGHT(BOMCheck[[#This Row],[CircuitID]])</f>
        <v>9</v>
      </c>
      <c r="L171" s="1">
        <f>SUMIFS(I:I,J:J,BOMCheck[[#This Row],[CitcuitNumber]],H:H,7)</f>
        <v>10</v>
      </c>
      <c r="M171" s="1">
        <f>SUMIFS(I:I,J:J,BOMCheck[[#This Row],[CitcuitNumber]],G:G,"IEK-25-04")</f>
        <v>0</v>
      </c>
      <c r="N171" s="1" t="str" cm="1">
        <f t="array" ref="N171">_xlfn.TEXTJOIN(", ",TRUE,_xlfn.UNIQUE(IF(BOMCheck[[#This Row],[CitcuitNumber]]=J:J,K:K,"")))</f>
        <v>0, 1, 2, 3, 4, 5, 6, 7, 8, 9</v>
      </c>
    </row>
    <row r="172" spans="1:14" x14ac:dyDescent="0.25">
      <c r="A172">
        <v>437</v>
      </c>
      <c r="B172">
        <v>0</v>
      </c>
      <c r="C172">
        <v>0</v>
      </c>
      <c r="D172" s="1" t="s">
        <v>115</v>
      </c>
      <c r="E172" s="1" t="s">
        <v>116</v>
      </c>
      <c r="F172" t="s">
        <v>15</v>
      </c>
      <c r="G172" s="1" t="s">
        <v>162</v>
      </c>
      <c r="H172">
        <v>7</v>
      </c>
      <c r="I172">
        <v>1</v>
      </c>
      <c r="J172" t="s">
        <v>166</v>
      </c>
      <c r="K172" t="str">
        <f>RIGHT(BOMCheck[[#This Row],[CircuitID]])</f>
        <v>9</v>
      </c>
      <c r="L172" s="1">
        <f>SUMIFS(I:I,J:J,BOMCheck[[#This Row],[CitcuitNumber]],H:H,7)</f>
        <v>10</v>
      </c>
      <c r="M172" s="1">
        <f>SUMIFS(I:I,J:J,BOMCheck[[#This Row],[CitcuitNumber]],G:G,"IEK-25-04")</f>
        <v>0</v>
      </c>
      <c r="N172" s="1" t="str" cm="1">
        <f t="array" ref="N172">_xlfn.TEXTJOIN(", ",TRUE,_xlfn.UNIQUE(IF(BOMCheck[[#This Row],[CitcuitNumber]]=J:J,K:K,"")))</f>
        <v>0, 1, 2, 3, 4, 5, 6, 7, 8, 9</v>
      </c>
    </row>
    <row r="173" spans="1:14" x14ac:dyDescent="0.25">
      <c r="A173">
        <v>437</v>
      </c>
      <c r="B173">
        <v>0</v>
      </c>
      <c r="C173">
        <v>0</v>
      </c>
      <c r="D173" s="1" t="s">
        <v>115</v>
      </c>
      <c r="E173" s="1" t="s">
        <v>116</v>
      </c>
      <c r="F173" t="s">
        <v>15</v>
      </c>
      <c r="G173" s="1" t="s">
        <v>44</v>
      </c>
      <c r="H173">
        <v>11</v>
      </c>
      <c r="I173">
        <v>0.5</v>
      </c>
      <c r="J173" t="s">
        <v>166</v>
      </c>
      <c r="K173" t="str">
        <f>RIGHT(BOMCheck[[#This Row],[CircuitID]])</f>
        <v>9</v>
      </c>
      <c r="L173" s="1">
        <f>SUMIFS(I:I,J:J,BOMCheck[[#This Row],[CitcuitNumber]],H:H,7)</f>
        <v>10</v>
      </c>
      <c r="M173" s="1">
        <f>SUMIFS(I:I,J:J,BOMCheck[[#This Row],[CitcuitNumber]],G:G,"IEK-25-04")</f>
        <v>0</v>
      </c>
      <c r="N173" s="1" t="str" cm="1">
        <f t="array" ref="N173">_xlfn.TEXTJOIN(", ",TRUE,_xlfn.UNIQUE(IF(BOMCheck[[#This Row],[CitcuitNumber]]=J:J,K:K,"")))</f>
        <v>0, 1, 2, 3, 4, 5, 6, 7, 8, 9</v>
      </c>
    </row>
    <row r="174" spans="1:14" x14ac:dyDescent="0.25">
      <c r="A174">
        <v>437</v>
      </c>
      <c r="B174">
        <v>0</v>
      </c>
      <c r="C174">
        <v>0</v>
      </c>
      <c r="D174" s="1" t="s">
        <v>115</v>
      </c>
      <c r="E174" s="1" t="s">
        <v>116</v>
      </c>
      <c r="F174" t="s">
        <v>15</v>
      </c>
      <c r="G174" s="1" t="s">
        <v>45</v>
      </c>
      <c r="H174">
        <v>10</v>
      </c>
      <c r="I174">
        <v>1</v>
      </c>
      <c r="J174" t="s">
        <v>166</v>
      </c>
      <c r="K174" t="str">
        <f>RIGHT(BOMCheck[[#This Row],[CircuitID]])</f>
        <v>9</v>
      </c>
      <c r="L174" s="1">
        <f>SUMIFS(I:I,J:J,BOMCheck[[#This Row],[CitcuitNumber]],H:H,7)</f>
        <v>10</v>
      </c>
      <c r="M174" s="1">
        <f>SUMIFS(I:I,J:J,BOMCheck[[#This Row],[CitcuitNumber]],G:G,"IEK-25-04")</f>
        <v>0</v>
      </c>
      <c r="N174" s="1" t="str" cm="1">
        <f t="array" ref="N174">_xlfn.TEXTJOIN(", ",TRUE,_xlfn.UNIQUE(IF(BOMCheck[[#This Row],[CitcuitNumber]]=J:J,K:K,"")))</f>
        <v>0, 1, 2, 3, 4, 5, 6, 7, 8, 9</v>
      </c>
    </row>
    <row r="175" spans="1:14" x14ac:dyDescent="0.25">
      <c r="A175">
        <v>437</v>
      </c>
      <c r="B175">
        <v>0</v>
      </c>
      <c r="C175">
        <v>0</v>
      </c>
      <c r="D175" s="1" t="s">
        <v>115</v>
      </c>
      <c r="E175" s="1" t="s">
        <v>116</v>
      </c>
      <c r="F175" t="s">
        <v>15</v>
      </c>
      <c r="G175" s="1" t="s">
        <v>161</v>
      </c>
      <c r="H175">
        <v>4</v>
      </c>
      <c r="I175">
        <v>1</v>
      </c>
      <c r="J175" t="s">
        <v>166</v>
      </c>
      <c r="K175" t="str">
        <f>RIGHT(BOMCheck[[#This Row],[CircuitID]])</f>
        <v>9</v>
      </c>
      <c r="L175" s="1">
        <f>SUMIFS(I:I,J:J,BOMCheck[[#This Row],[CitcuitNumber]],H:H,7)</f>
        <v>10</v>
      </c>
      <c r="M175" s="1">
        <f>SUMIFS(I:I,J:J,BOMCheck[[#This Row],[CitcuitNumber]],G:G,"IEK-25-04")</f>
        <v>0</v>
      </c>
      <c r="N175" s="1" t="str" cm="1">
        <f t="array" ref="N175">_xlfn.TEXTJOIN(", ",TRUE,_xlfn.UNIQUE(IF(BOMCheck[[#This Row],[CitcuitNumber]]=J:J,K:K,"")))</f>
        <v>0, 1, 2, 3, 4, 5, 6, 7, 8, 9</v>
      </c>
    </row>
    <row r="176" spans="1:14" x14ac:dyDescent="0.25">
      <c r="A176">
        <v>437</v>
      </c>
      <c r="B176">
        <v>0</v>
      </c>
      <c r="C176">
        <v>0</v>
      </c>
      <c r="D176" s="1" t="s">
        <v>115</v>
      </c>
      <c r="E176" s="1" t="s">
        <v>116</v>
      </c>
      <c r="F176" t="s">
        <v>15</v>
      </c>
      <c r="G176" s="1" t="s">
        <v>163</v>
      </c>
      <c r="H176">
        <v>13</v>
      </c>
      <c r="I176">
        <v>2</v>
      </c>
      <c r="J176" t="s">
        <v>166</v>
      </c>
      <c r="K176" t="str">
        <f>RIGHT(BOMCheck[[#This Row],[CircuitID]])</f>
        <v>9</v>
      </c>
      <c r="L176" s="1">
        <f>SUMIFS(I:I,J:J,BOMCheck[[#This Row],[CitcuitNumber]],H:H,7)</f>
        <v>10</v>
      </c>
      <c r="M176" s="1">
        <f>SUMIFS(I:I,J:J,BOMCheck[[#This Row],[CitcuitNumber]],G:G,"IEK-25-04")</f>
        <v>0</v>
      </c>
      <c r="N176" s="1" t="str" cm="1">
        <f t="array" ref="N176">_xlfn.TEXTJOIN(", ",TRUE,_xlfn.UNIQUE(IF(BOMCheck[[#This Row],[CitcuitNumber]]=J:J,K:K,"")))</f>
        <v>0, 1, 2, 3, 4, 5, 6, 7, 8, 9</v>
      </c>
    </row>
    <row r="177" spans="1:14" x14ac:dyDescent="0.25">
      <c r="A177">
        <v>438</v>
      </c>
      <c r="B177">
        <v>0</v>
      </c>
      <c r="C177">
        <v>0</v>
      </c>
      <c r="D177" s="1" t="s">
        <v>117</v>
      </c>
      <c r="E177" s="1" t="s">
        <v>118</v>
      </c>
      <c r="F177" t="s">
        <v>15</v>
      </c>
      <c r="G177" s="1" t="s">
        <v>167</v>
      </c>
      <c r="H177">
        <v>1</v>
      </c>
      <c r="I177">
        <v>34.119999999999997</v>
      </c>
      <c r="J177" t="s">
        <v>169</v>
      </c>
      <c r="K177" t="str">
        <f>RIGHT(BOMCheck[[#This Row],[CircuitID]])</f>
        <v>0</v>
      </c>
      <c r="L177" s="1">
        <f>SUMIFS(I:I,J:J,BOMCheck[[#This Row],[CitcuitNumber]],H:H,7)</f>
        <v>10</v>
      </c>
      <c r="M177" s="1">
        <f>SUMIFS(I:I,J:J,BOMCheck[[#This Row],[CitcuitNumber]],G:G,"IEK-25-04")</f>
        <v>0</v>
      </c>
      <c r="N177" s="1" t="str" cm="1">
        <f t="array" ref="N177">_xlfn.TEXTJOIN(", ",TRUE,_xlfn.UNIQUE(IF(BOMCheck[[#This Row],[CitcuitNumber]]=J:J,K:K,"")))</f>
        <v>0, 1, 2, 3, 4, 5, 6, 7, 8, 9</v>
      </c>
    </row>
    <row r="178" spans="1:14" x14ac:dyDescent="0.25">
      <c r="A178">
        <v>438</v>
      </c>
      <c r="B178">
        <v>0</v>
      </c>
      <c r="C178">
        <v>0</v>
      </c>
      <c r="D178" s="1" t="s">
        <v>117</v>
      </c>
      <c r="E178" s="1" t="s">
        <v>118</v>
      </c>
      <c r="F178" t="s">
        <v>15</v>
      </c>
      <c r="G178" s="1" t="s">
        <v>162</v>
      </c>
      <c r="H178">
        <v>7</v>
      </c>
      <c r="I178">
        <v>1</v>
      </c>
      <c r="J178" t="s">
        <v>169</v>
      </c>
      <c r="K178" t="str">
        <f>RIGHT(BOMCheck[[#This Row],[CircuitID]])</f>
        <v>0</v>
      </c>
      <c r="L178" s="1">
        <f>SUMIFS(I:I,J:J,BOMCheck[[#This Row],[CitcuitNumber]],H:H,7)</f>
        <v>10</v>
      </c>
      <c r="M178" s="1">
        <f>SUMIFS(I:I,J:J,BOMCheck[[#This Row],[CitcuitNumber]],G:G,"IEK-25-04")</f>
        <v>0</v>
      </c>
      <c r="N178" s="1" t="str" cm="1">
        <f t="array" ref="N178">_xlfn.TEXTJOIN(", ",TRUE,_xlfn.UNIQUE(IF(BOMCheck[[#This Row],[CitcuitNumber]]=J:J,K:K,"")))</f>
        <v>0, 1, 2, 3, 4, 5, 6, 7, 8, 9</v>
      </c>
    </row>
    <row r="179" spans="1:14" x14ac:dyDescent="0.25">
      <c r="A179">
        <v>438</v>
      </c>
      <c r="B179">
        <v>0</v>
      </c>
      <c r="C179">
        <v>0</v>
      </c>
      <c r="D179" s="1" t="s">
        <v>117</v>
      </c>
      <c r="E179" s="1" t="s">
        <v>118</v>
      </c>
      <c r="F179" t="s">
        <v>15</v>
      </c>
      <c r="G179" s="1" t="s">
        <v>161</v>
      </c>
      <c r="H179">
        <v>4</v>
      </c>
      <c r="I179">
        <v>1</v>
      </c>
      <c r="J179" t="s">
        <v>169</v>
      </c>
      <c r="K179" t="str">
        <f>RIGHT(BOMCheck[[#This Row],[CircuitID]])</f>
        <v>0</v>
      </c>
      <c r="L179" s="1">
        <f>SUMIFS(I:I,J:J,BOMCheck[[#This Row],[CitcuitNumber]],H:H,7)</f>
        <v>10</v>
      </c>
      <c r="M179" s="1">
        <f>SUMIFS(I:I,J:J,BOMCheck[[#This Row],[CitcuitNumber]],G:G,"IEK-25-04")</f>
        <v>0</v>
      </c>
      <c r="N179" s="1" t="str" cm="1">
        <f t="array" ref="N179">_xlfn.TEXTJOIN(", ",TRUE,_xlfn.UNIQUE(IF(BOMCheck[[#This Row],[CitcuitNumber]]=J:J,K:K,"")))</f>
        <v>0, 1, 2, 3, 4, 5, 6, 7, 8, 9</v>
      </c>
    </row>
    <row r="180" spans="1:14" x14ac:dyDescent="0.25">
      <c r="A180">
        <v>438</v>
      </c>
      <c r="B180">
        <v>0</v>
      </c>
      <c r="C180">
        <v>0</v>
      </c>
      <c r="D180" s="1" t="s">
        <v>117</v>
      </c>
      <c r="E180" s="1" t="s">
        <v>118</v>
      </c>
      <c r="F180" t="s">
        <v>15</v>
      </c>
      <c r="G180" s="1" t="s">
        <v>44</v>
      </c>
      <c r="H180">
        <v>11</v>
      </c>
      <c r="I180">
        <v>0.5</v>
      </c>
      <c r="J180" t="s">
        <v>169</v>
      </c>
      <c r="K180" t="str">
        <f>RIGHT(BOMCheck[[#This Row],[CircuitID]])</f>
        <v>0</v>
      </c>
      <c r="L180" s="1">
        <f>SUMIFS(I:I,J:J,BOMCheck[[#This Row],[CitcuitNumber]],H:H,7)</f>
        <v>10</v>
      </c>
      <c r="M180" s="1">
        <f>SUMIFS(I:I,J:J,BOMCheck[[#This Row],[CitcuitNumber]],G:G,"IEK-25-04")</f>
        <v>0</v>
      </c>
      <c r="N180" s="1" t="str" cm="1">
        <f t="array" ref="N180">_xlfn.TEXTJOIN(", ",TRUE,_xlfn.UNIQUE(IF(BOMCheck[[#This Row],[CitcuitNumber]]=J:J,K:K,"")))</f>
        <v>0, 1, 2, 3, 4, 5, 6, 7, 8, 9</v>
      </c>
    </row>
    <row r="181" spans="1:14" x14ac:dyDescent="0.25">
      <c r="A181">
        <v>438</v>
      </c>
      <c r="B181">
        <v>0</v>
      </c>
      <c r="C181">
        <v>0</v>
      </c>
      <c r="D181" s="1" t="s">
        <v>117</v>
      </c>
      <c r="E181" s="1" t="s">
        <v>118</v>
      </c>
      <c r="F181" t="s">
        <v>15</v>
      </c>
      <c r="G181" s="1" t="s">
        <v>45</v>
      </c>
      <c r="H181">
        <v>10</v>
      </c>
      <c r="I181">
        <v>1</v>
      </c>
      <c r="J181" t="s">
        <v>169</v>
      </c>
      <c r="K181" t="str">
        <f>RIGHT(BOMCheck[[#This Row],[CircuitID]])</f>
        <v>0</v>
      </c>
      <c r="L181" s="1">
        <f>SUMIFS(I:I,J:J,BOMCheck[[#This Row],[CitcuitNumber]],H:H,7)</f>
        <v>10</v>
      </c>
      <c r="M181" s="1">
        <f>SUMIFS(I:I,J:J,BOMCheck[[#This Row],[CitcuitNumber]],G:G,"IEK-25-04")</f>
        <v>0</v>
      </c>
      <c r="N181" s="1" t="str" cm="1">
        <f t="array" ref="N181">_xlfn.TEXTJOIN(", ",TRUE,_xlfn.UNIQUE(IF(BOMCheck[[#This Row],[CitcuitNumber]]=J:J,K:K,"")))</f>
        <v>0, 1, 2, 3, 4, 5, 6, 7, 8, 9</v>
      </c>
    </row>
    <row r="182" spans="1:14" x14ac:dyDescent="0.25">
      <c r="A182">
        <v>438</v>
      </c>
      <c r="B182">
        <v>0</v>
      </c>
      <c r="C182">
        <v>0</v>
      </c>
      <c r="D182" s="1" t="s">
        <v>117</v>
      </c>
      <c r="E182" s="1" t="s">
        <v>118</v>
      </c>
      <c r="F182" t="s">
        <v>15</v>
      </c>
      <c r="G182" s="1" t="s">
        <v>163</v>
      </c>
      <c r="H182">
        <v>13</v>
      </c>
      <c r="I182">
        <v>2</v>
      </c>
      <c r="J182" t="s">
        <v>169</v>
      </c>
      <c r="K182" t="str">
        <f>RIGHT(BOMCheck[[#This Row],[CircuitID]])</f>
        <v>0</v>
      </c>
      <c r="L182" s="1">
        <f>SUMIFS(I:I,J:J,BOMCheck[[#This Row],[CitcuitNumber]],H:H,7)</f>
        <v>10</v>
      </c>
      <c r="M182" s="1">
        <f>SUMIFS(I:I,J:J,BOMCheck[[#This Row],[CitcuitNumber]],G:G,"IEK-25-04")</f>
        <v>0</v>
      </c>
      <c r="N182" s="1" t="str" cm="1">
        <f t="array" ref="N182">_xlfn.TEXTJOIN(", ",TRUE,_xlfn.UNIQUE(IF(BOMCheck[[#This Row],[CitcuitNumber]]=J:J,K:K,"")))</f>
        <v>0, 1, 2, 3, 4, 5, 6, 7, 8, 9</v>
      </c>
    </row>
    <row r="183" spans="1:14" x14ac:dyDescent="0.25">
      <c r="A183">
        <v>439</v>
      </c>
      <c r="B183">
        <v>0</v>
      </c>
      <c r="C183">
        <v>0</v>
      </c>
      <c r="D183" s="1" t="s">
        <v>119</v>
      </c>
      <c r="E183" s="1" t="s">
        <v>120</v>
      </c>
      <c r="F183" t="s">
        <v>15</v>
      </c>
      <c r="G183" s="1" t="s">
        <v>167</v>
      </c>
      <c r="H183">
        <v>1</v>
      </c>
      <c r="I183">
        <v>34.119999999999997</v>
      </c>
      <c r="J183" t="s">
        <v>169</v>
      </c>
      <c r="K183" t="str">
        <f>RIGHT(BOMCheck[[#This Row],[CircuitID]])</f>
        <v>1</v>
      </c>
      <c r="L183" s="1">
        <f>SUMIFS(I:I,J:J,BOMCheck[[#This Row],[CitcuitNumber]],H:H,7)</f>
        <v>10</v>
      </c>
      <c r="M183" s="1">
        <f>SUMIFS(I:I,J:J,BOMCheck[[#This Row],[CitcuitNumber]],G:G,"IEK-25-04")</f>
        <v>0</v>
      </c>
      <c r="N183" s="1" t="str" cm="1">
        <f t="array" ref="N183">_xlfn.TEXTJOIN(", ",TRUE,_xlfn.UNIQUE(IF(BOMCheck[[#This Row],[CitcuitNumber]]=J:J,K:K,"")))</f>
        <v>0, 1, 2, 3, 4, 5, 6, 7, 8, 9</v>
      </c>
    </row>
    <row r="184" spans="1:14" x14ac:dyDescent="0.25">
      <c r="A184">
        <v>439</v>
      </c>
      <c r="B184">
        <v>0</v>
      </c>
      <c r="C184">
        <v>0</v>
      </c>
      <c r="D184" s="1" t="s">
        <v>119</v>
      </c>
      <c r="E184" s="1" t="s">
        <v>120</v>
      </c>
      <c r="F184" t="s">
        <v>15</v>
      </c>
      <c r="G184" s="1" t="s">
        <v>161</v>
      </c>
      <c r="H184">
        <v>4</v>
      </c>
      <c r="I184">
        <v>1</v>
      </c>
      <c r="J184" t="s">
        <v>169</v>
      </c>
      <c r="K184" t="str">
        <f>RIGHT(BOMCheck[[#This Row],[CircuitID]])</f>
        <v>1</v>
      </c>
      <c r="L184" s="1">
        <f>SUMIFS(I:I,J:J,BOMCheck[[#This Row],[CitcuitNumber]],H:H,7)</f>
        <v>10</v>
      </c>
      <c r="M184" s="1">
        <f>SUMIFS(I:I,J:J,BOMCheck[[#This Row],[CitcuitNumber]],G:G,"IEK-25-04")</f>
        <v>0</v>
      </c>
      <c r="N184" s="1" t="str" cm="1">
        <f t="array" ref="N184">_xlfn.TEXTJOIN(", ",TRUE,_xlfn.UNIQUE(IF(BOMCheck[[#This Row],[CitcuitNumber]]=J:J,K:K,"")))</f>
        <v>0, 1, 2, 3, 4, 5, 6, 7, 8, 9</v>
      </c>
    </row>
    <row r="185" spans="1:14" x14ac:dyDescent="0.25">
      <c r="A185">
        <v>439</v>
      </c>
      <c r="B185">
        <v>0</v>
      </c>
      <c r="C185">
        <v>0</v>
      </c>
      <c r="D185" s="1" t="s">
        <v>119</v>
      </c>
      <c r="E185" s="1" t="s">
        <v>120</v>
      </c>
      <c r="F185" t="s">
        <v>15</v>
      </c>
      <c r="G185" s="1" t="s">
        <v>45</v>
      </c>
      <c r="H185">
        <v>10</v>
      </c>
      <c r="I185">
        <v>1</v>
      </c>
      <c r="J185" t="s">
        <v>169</v>
      </c>
      <c r="K185" t="str">
        <f>RIGHT(BOMCheck[[#This Row],[CircuitID]])</f>
        <v>1</v>
      </c>
      <c r="L185" s="1">
        <f>SUMIFS(I:I,J:J,BOMCheck[[#This Row],[CitcuitNumber]],H:H,7)</f>
        <v>10</v>
      </c>
      <c r="M185" s="1">
        <f>SUMIFS(I:I,J:J,BOMCheck[[#This Row],[CitcuitNumber]],G:G,"IEK-25-04")</f>
        <v>0</v>
      </c>
      <c r="N185" s="1" t="str" cm="1">
        <f t="array" ref="N185">_xlfn.TEXTJOIN(", ",TRUE,_xlfn.UNIQUE(IF(BOMCheck[[#This Row],[CitcuitNumber]]=J:J,K:K,"")))</f>
        <v>0, 1, 2, 3, 4, 5, 6, 7, 8, 9</v>
      </c>
    </row>
    <row r="186" spans="1:14" x14ac:dyDescent="0.25">
      <c r="A186">
        <v>439</v>
      </c>
      <c r="B186">
        <v>0</v>
      </c>
      <c r="C186">
        <v>0</v>
      </c>
      <c r="D186" s="1" t="s">
        <v>119</v>
      </c>
      <c r="E186" s="1" t="s">
        <v>120</v>
      </c>
      <c r="F186" t="s">
        <v>15</v>
      </c>
      <c r="G186" s="1" t="s">
        <v>163</v>
      </c>
      <c r="H186">
        <v>13</v>
      </c>
      <c r="I186">
        <v>2</v>
      </c>
      <c r="J186" t="s">
        <v>169</v>
      </c>
      <c r="K186" t="str">
        <f>RIGHT(BOMCheck[[#This Row],[CircuitID]])</f>
        <v>1</v>
      </c>
      <c r="L186" s="1">
        <f>SUMIFS(I:I,J:J,BOMCheck[[#This Row],[CitcuitNumber]],H:H,7)</f>
        <v>10</v>
      </c>
      <c r="M186" s="1">
        <f>SUMIFS(I:I,J:J,BOMCheck[[#This Row],[CitcuitNumber]],G:G,"IEK-25-04")</f>
        <v>0</v>
      </c>
      <c r="N186" s="1" t="str" cm="1">
        <f t="array" ref="N186">_xlfn.TEXTJOIN(", ",TRUE,_xlfn.UNIQUE(IF(BOMCheck[[#This Row],[CitcuitNumber]]=J:J,K:K,"")))</f>
        <v>0, 1, 2, 3, 4, 5, 6, 7, 8, 9</v>
      </c>
    </row>
    <row r="187" spans="1:14" x14ac:dyDescent="0.25">
      <c r="A187">
        <v>439</v>
      </c>
      <c r="B187">
        <v>0</v>
      </c>
      <c r="C187">
        <v>0</v>
      </c>
      <c r="D187" s="1" t="s">
        <v>119</v>
      </c>
      <c r="E187" s="1" t="s">
        <v>120</v>
      </c>
      <c r="F187" t="s">
        <v>15</v>
      </c>
      <c r="G187" s="1" t="s">
        <v>44</v>
      </c>
      <c r="H187">
        <v>11</v>
      </c>
      <c r="I187">
        <v>0.5</v>
      </c>
      <c r="J187" t="s">
        <v>169</v>
      </c>
      <c r="K187" t="str">
        <f>RIGHT(BOMCheck[[#This Row],[CircuitID]])</f>
        <v>1</v>
      </c>
      <c r="L187" s="1">
        <f>SUMIFS(I:I,J:J,BOMCheck[[#This Row],[CitcuitNumber]],H:H,7)</f>
        <v>10</v>
      </c>
      <c r="M187" s="1">
        <f>SUMIFS(I:I,J:J,BOMCheck[[#This Row],[CitcuitNumber]],G:G,"IEK-25-04")</f>
        <v>0</v>
      </c>
      <c r="N187" s="1" t="str" cm="1">
        <f t="array" ref="N187">_xlfn.TEXTJOIN(", ",TRUE,_xlfn.UNIQUE(IF(BOMCheck[[#This Row],[CitcuitNumber]]=J:J,K:K,"")))</f>
        <v>0, 1, 2, 3, 4, 5, 6, 7, 8, 9</v>
      </c>
    </row>
    <row r="188" spans="1:14" x14ac:dyDescent="0.25">
      <c r="A188">
        <v>439</v>
      </c>
      <c r="B188">
        <v>0</v>
      </c>
      <c r="C188">
        <v>0</v>
      </c>
      <c r="D188" s="1" t="s">
        <v>119</v>
      </c>
      <c r="E188" s="1" t="s">
        <v>120</v>
      </c>
      <c r="F188" t="s">
        <v>15</v>
      </c>
      <c r="G188" s="1" t="s">
        <v>162</v>
      </c>
      <c r="H188">
        <v>7</v>
      </c>
      <c r="I188">
        <v>1</v>
      </c>
      <c r="J188" t="s">
        <v>169</v>
      </c>
      <c r="K188" t="str">
        <f>RIGHT(BOMCheck[[#This Row],[CircuitID]])</f>
        <v>1</v>
      </c>
      <c r="L188" s="1">
        <f>SUMIFS(I:I,J:J,BOMCheck[[#This Row],[CitcuitNumber]],H:H,7)</f>
        <v>10</v>
      </c>
      <c r="M188" s="1">
        <f>SUMIFS(I:I,J:J,BOMCheck[[#This Row],[CitcuitNumber]],G:G,"IEK-25-04")</f>
        <v>0</v>
      </c>
      <c r="N188" s="1" t="str" cm="1">
        <f t="array" ref="N188">_xlfn.TEXTJOIN(", ",TRUE,_xlfn.UNIQUE(IF(BOMCheck[[#This Row],[CitcuitNumber]]=J:J,K:K,"")))</f>
        <v>0, 1, 2, 3, 4, 5, 6, 7, 8, 9</v>
      </c>
    </row>
    <row r="189" spans="1:14" x14ac:dyDescent="0.25">
      <c r="A189">
        <v>440</v>
      </c>
      <c r="B189">
        <v>0</v>
      </c>
      <c r="C189">
        <v>0</v>
      </c>
      <c r="D189" s="1" t="s">
        <v>121</v>
      </c>
      <c r="E189" s="1" t="s">
        <v>122</v>
      </c>
      <c r="F189" t="s">
        <v>15</v>
      </c>
      <c r="G189" s="1" t="s">
        <v>161</v>
      </c>
      <c r="H189">
        <v>4</v>
      </c>
      <c r="I189">
        <v>1</v>
      </c>
      <c r="J189" t="s">
        <v>169</v>
      </c>
      <c r="K189" t="str">
        <f>RIGHT(BOMCheck[[#This Row],[CircuitID]])</f>
        <v>2</v>
      </c>
      <c r="L189" s="1">
        <f>SUMIFS(I:I,J:J,BOMCheck[[#This Row],[CitcuitNumber]],H:H,7)</f>
        <v>10</v>
      </c>
      <c r="M189" s="1">
        <f>SUMIFS(I:I,J:J,BOMCheck[[#This Row],[CitcuitNumber]],G:G,"IEK-25-04")</f>
        <v>0</v>
      </c>
      <c r="N189" s="1" t="str" cm="1">
        <f t="array" ref="N189">_xlfn.TEXTJOIN(", ",TRUE,_xlfn.UNIQUE(IF(BOMCheck[[#This Row],[CitcuitNumber]]=J:J,K:K,"")))</f>
        <v>0, 1, 2, 3, 4, 5, 6, 7, 8, 9</v>
      </c>
    </row>
    <row r="190" spans="1:14" x14ac:dyDescent="0.25">
      <c r="A190">
        <v>440</v>
      </c>
      <c r="B190">
        <v>0</v>
      </c>
      <c r="C190">
        <v>0</v>
      </c>
      <c r="D190" s="1" t="s">
        <v>121</v>
      </c>
      <c r="E190" s="1" t="s">
        <v>122</v>
      </c>
      <c r="F190" t="s">
        <v>15</v>
      </c>
      <c r="G190" s="1" t="s">
        <v>167</v>
      </c>
      <c r="H190">
        <v>1</v>
      </c>
      <c r="I190">
        <v>34.119999999999997</v>
      </c>
      <c r="J190" t="s">
        <v>169</v>
      </c>
      <c r="K190" t="str">
        <f>RIGHT(BOMCheck[[#This Row],[CircuitID]])</f>
        <v>2</v>
      </c>
      <c r="L190" s="1">
        <f>SUMIFS(I:I,J:J,BOMCheck[[#This Row],[CitcuitNumber]],H:H,7)</f>
        <v>10</v>
      </c>
      <c r="M190" s="1">
        <f>SUMIFS(I:I,J:J,BOMCheck[[#This Row],[CitcuitNumber]],G:G,"IEK-25-04")</f>
        <v>0</v>
      </c>
      <c r="N190" s="1" t="str" cm="1">
        <f t="array" ref="N190">_xlfn.TEXTJOIN(", ",TRUE,_xlfn.UNIQUE(IF(BOMCheck[[#This Row],[CitcuitNumber]]=J:J,K:K,"")))</f>
        <v>0, 1, 2, 3, 4, 5, 6, 7, 8, 9</v>
      </c>
    </row>
    <row r="191" spans="1:14" x14ac:dyDescent="0.25">
      <c r="A191">
        <v>440</v>
      </c>
      <c r="B191">
        <v>0</v>
      </c>
      <c r="C191">
        <v>0</v>
      </c>
      <c r="D191" s="1" t="s">
        <v>121</v>
      </c>
      <c r="E191" s="1" t="s">
        <v>122</v>
      </c>
      <c r="F191" t="s">
        <v>15</v>
      </c>
      <c r="G191" s="1" t="s">
        <v>45</v>
      </c>
      <c r="H191">
        <v>10</v>
      </c>
      <c r="I191">
        <v>1</v>
      </c>
      <c r="J191" t="s">
        <v>169</v>
      </c>
      <c r="K191" t="str">
        <f>RIGHT(BOMCheck[[#This Row],[CircuitID]])</f>
        <v>2</v>
      </c>
      <c r="L191" s="1">
        <f>SUMIFS(I:I,J:J,BOMCheck[[#This Row],[CitcuitNumber]],H:H,7)</f>
        <v>10</v>
      </c>
      <c r="M191" s="1">
        <f>SUMIFS(I:I,J:J,BOMCheck[[#This Row],[CitcuitNumber]],G:G,"IEK-25-04")</f>
        <v>0</v>
      </c>
      <c r="N191" s="1" t="str" cm="1">
        <f t="array" ref="N191">_xlfn.TEXTJOIN(", ",TRUE,_xlfn.UNIQUE(IF(BOMCheck[[#This Row],[CitcuitNumber]]=J:J,K:K,"")))</f>
        <v>0, 1, 2, 3, 4, 5, 6, 7, 8, 9</v>
      </c>
    </row>
    <row r="192" spans="1:14" x14ac:dyDescent="0.25">
      <c r="A192">
        <v>440</v>
      </c>
      <c r="B192">
        <v>0</v>
      </c>
      <c r="C192">
        <v>0</v>
      </c>
      <c r="D192" s="1" t="s">
        <v>121</v>
      </c>
      <c r="E192" s="1" t="s">
        <v>122</v>
      </c>
      <c r="F192" t="s">
        <v>15</v>
      </c>
      <c r="G192" s="1" t="s">
        <v>163</v>
      </c>
      <c r="H192">
        <v>13</v>
      </c>
      <c r="I192">
        <v>2</v>
      </c>
      <c r="J192" t="s">
        <v>169</v>
      </c>
      <c r="K192" t="str">
        <f>RIGHT(BOMCheck[[#This Row],[CircuitID]])</f>
        <v>2</v>
      </c>
      <c r="L192" s="1">
        <f>SUMIFS(I:I,J:J,BOMCheck[[#This Row],[CitcuitNumber]],H:H,7)</f>
        <v>10</v>
      </c>
      <c r="M192" s="1">
        <f>SUMIFS(I:I,J:J,BOMCheck[[#This Row],[CitcuitNumber]],G:G,"IEK-25-04")</f>
        <v>0</v>
      </c>
      <c r="N192" s="1" t="str" cm="1">
        <f t="array" ref="N192">_xlfn.TEXTJOIN(", ",TRUE,_xlfn.UNIQUE(IF(BOMCheck[[#This Row],[CitcuitNumber]]=J:J,K:K,"")))</f>
        <v>0, 1, 2, 3, 4, 5, 6, 7, 8, 9</v>
      </c>
    </row>
    <row r="193" spans="1:14" x14ac:dyDescent="0.25">
      <c r="A193">
        <v>440</v>
      </c>
      <c r="B193">
        <v>0</v>
      </c>
      <c r="C193">
        <v>0</v>
      </c>
      <c r="D193" s="1" t="s">
        <v>121</v>
      </c>
      <c r="E193" s="1" t="s">
        <v>122</v>
      </c>
      <c r="F193" t="s">
        <v>15</v>
      </c>
      <c r="G193" s="1" t="s">
        <v>44</v>
      </c>
      <c r="H193">
        <v>11</v>
      </c>
      <c r="I193">
        <v>0.5</v>
      </c>
      <c r="J193" t="s">
        <v>169</v>
      </c>
      <c r="K193" t="str">
        <f>RIGHT(BOMCheck[[#This Row],[CircuitID]])</f>
        <v>2</v>
      </c>
      <c r="L193" s="1">
        <f>SUMIFS(I:I,J:J,BOMCheck[[#This Row],[CitcuitNumber]],H:H,7)</f>
        <v>10</v>
      </c>
      <c r="M193" s="1">
        <f>SUMIFS(I:I,J:J,BOMCheck[[#This Row],[CitcuitNumber]],G:G,"IEK-25-04")</f>
        <v>0</v>
      </c>
      <c r="N193" s="1" t="str" cm="1">
        <f t="array" ref="N193">_xlfn.TEXTJOIN(", ",TRUE,_xlfn.UNIQUE(IF(BOMCheck[[#This Row],[CitcuitNumber]]=J:J,K:K,"")))</f>
        <v>0, 1, 2, 3, 4, 5, 6, 7, 8, 9</v>
      </c>
    </row>
    <row r="194" spans="1:14" x14ac:dyDescent="0.25">
      <c r="A194">
        <v>440</v>
      </c>
      <c r="B194">
        <v>0</v>
      </c>
      <c r="C194">
        <v>0</v>
      </c>
      <c r="D194" s="1" t="s">
        <v>121</v>
      </c>
      <c r="E194" s="1" t="s">
        <v>122</v>
      </c>
      <c r="F194" t="s">
        <v>15</v>
      </c>
      <c r="G194" s="1" t="s">
        <v>162</v>
      </c>
      <c r="H194">
        <v>7</v>
      </c>
      <c r="I194">
        <v>1</v>
      </c>
      <c r="J194" t="s">
        <v>169</v>
      </c>
      <c r="K194" t="str">
        <f>RIGHT(BOMCheck[[#This Row],[CircuitID]])</f>
        <v>2</v>
      </c>
      <c r="L194" s="1">
        <f>SUMIFS(I:I,J:J,BOMCheck[[#This Row],[CitcuitNumber]],H:H,7)</f>
        <v>10</v>
      </c>
      <c r="M194" s="1">
        <f>SUMIFS(I:I,J:J,BOMCheck[[#This Row],[CitcuitNumber]],G:G,"IEK-25-04")</f>
        <v>0</v>
      </c>
      <c r="N194" s="1" t="str" cm="1">
        <f t="array" ref="N194">_xlfn.TEXTJOIN(", ",TRUE,_xlfn.UNIQUE(IF(BOMCheck[[#This Row],[CitcuitNumber]]=J:J,K:K,"")))</f>
        <v>0, 1, 2, 3, 4, 5, 6, 7, 8, 9</v>
      </c>
    </row>
    <row r="195" spans="1:14" x14ac:dyDescent="0.25">
      <c r="A195">
        <v>441</v>
      </c>
      <c r="B195">
        <v>0</v>
      </c>
      <c r="C195">
        <v>0</v>
      </c>
      <c r="D195" s="1" t="s">
        <v>123</v>
      </c>
      <c r="E195" s="1" t="s">
        <v>124</v>
      </c>
      <c r="F195" t="s">
        <v>15</v>
      </c>
      <c r="G195" s="1" t="s">
        <v>162</v>
      </c>
      <c r="H195">
        <v>7</v>
      </c>
      <c r="I195">
        <v>1</v>
      </c>
      <c r="J195" t="s">
        <v>169</v>
      </c>
      <c r="K195" t="str">
        <f>RIGHT(BOMCheck[[#This Row],[CircuitID]])</f>
        <v>3</v>
      </c>
      <c r="L195" s="1">
        <f>SUMIFS(I:I,J:J,BOMCheck[[#This Row],[CitcuitNumber]],H:H,7)</f>
        <v>10</v>
      </c>
      <c r="M195" s="1">
        <f>SUMIFS(I:I,J:J,BOMCheck[[#This Row],[CitcuitNumber]],G:G,"IEK-25-04")</f>
        <v>0</v>
      </c>
      <c r="N195" s="1" t="str" cm="1">
        <f t="array" ref="N195">_xlfn.TEXTJOIN(", ",TRUE,_xlfn.UNIQUE(IF(BOMCheck[[#This Row],[CitcuitNumber]]=J:J,K:K,"")))</f>
        <v>0, 1, 2, 3, 4, 5, 6, 7, 8, 9</v>
      </c>
    </row>
    <row r="196" spans="1:14" x14ac:dyDescent="0.25">
      <c r="A196">
        <v>441</v>
      </c>
      <c r="B196">
        <v>0</v>
      </c>
      <c r="C196">
        <v>0</v>
      </c>
      <c r="D196" s="1" t="s">
        <v>123</v>
      </c>
      <c r="E196" s="1" t="s">
        <v>124</v>
      </c>
      <c r="F196" t="s">
        <v>15</v>
      </c>
      <c r="G196" s="1" t="s">
        <v>44</v>
      </c>
      <c r="H196">
        <v>11</v>
      </c>
      <c r="I196">
        <v>0.5</v>
      </c>
      <c r="J196" t="s">
        <v>169</v>
      </c>
      <c r="K196" t="str">
        <f>RIGHT(BOMCheck[[#This Row],[CircuitID]])</f>
        <v>3</v>
      </c>
      <c r="L196" s="1">
        <f>SUMIFS(I:I,J:J,BOMCheck[[#This Row],[CitcuitNumber]],H:H,7)</f>
        <v>10</v>
      </c>
      <c r="M196" s="1">
        <f>SUMIFS(I:I,J:J,BOMCheck[[#This Row],[CitcuitNumber]],G:G,"IEK-25-04")</f>
        <v>0</v>
      </c>
      <c r="N196" s="1" t="str" cm="1">
        <f t="array" ref="N196">_xlfn.TEXTJOIN(", ",TRUE,_xlfn.UNIQUE(IF(BOMCheck[[#This Row],[CitcuitNumber]]=J:J,K:K,"")))</f>
        <v>0, 1, 2, 3, 4, 5, 6, 7, 8, 9</v>
      </c>
    </row>
    <row r="197" spans="1:14" x14ac:dyDescent="0.25">
      <c r="A197">
        <v>441</v>
      </c>
      <c r="B197">
        <v>0</v>
      </c>
      <c r="C197">
        <v>0</v>
      </c>
      <c r="D197" s="1" t="s">
        <v>123</v>
      </c>
      <c r="E197" s="1" t="s">
        <v>124</v>
      </c>
      <c r="F197" t="s">
        <v>15</v>
      </c>
      <c r="G197" s="1" t="s">
        <v>45</v>
      </c>
      <c r="H197">
        <v>10</v>
      </c>
      <c r="I197">
        <v>1</v>
      </c>
      <c r="J197" t="s">
        <v>169</v>
      </c>
      <c r="K197" t="str">
        <f>RIGHT(BOMCheck[[#This Row],[CircuitID]])</f>
        <v>3</v>
      </c>
      <c r="L197" s="1">
        <f>SUMIFS(I:I,J:J,BOMCheck[[#This Row],[CitcuitNumber]],H:H,7)</f>
        <v>10</v>
      </c>
      <c r="M197" s="1">
        <f>SUMIFS(I:I,J:J,BOMCheck[[#This Row],[CitcuitNumber]],G:G,"IEK-25-04")</f>
        <v>0</v>
      </c>
      <c r="N197" s="1" t="str" cm="1">
        <f t="array" ref="N197">_xlfn.TEXTJOIN(", ",TRUE,_xlfn.UNIQUE(IF(BOMCheck[[#This Row],[CitcuitNumber]]=J:J,K:K,"")))</f>
        <v>0, 1, 2, 3, 4, 5, 6, 7, 8, 9</v>
      </c>
    </row>
    <row r="198" spans="1:14" x14ac:dyDescent="0.25">
      <c r="A198">
        <v>441</v>
      </c>
      <c r="B198">
        <v>0</v>
      </c>
      <c r="C198">
        <v>0</v>
      </c>
      <c r="D198" s="1" t="s">
        <v>123</v>
      </c>
      <c r="E198" s="1" t="s">
        <v>124</v>
      </c>
      <c r="F198" t="s">
        <v>15</v>
      </c>
      <c r="G198" s="1" t="s">
        <v>161</v>
      </c>
      <c r="H198">
        <v>4</v>
      </c>
      <c r="I198">
        <v>1</v>
      </c>
      <c r="J198" t="s">
        <v>169</v>
      </c>
      <c r="K198" t="str">
        <f>RIGHT(BOMCheck[[#This Row],[CircuitID]])</f>
        <v>3</v>
      </c>
      <c r="L198" s="1">
        <f>SUMIFS(I:I,J:J,BOMCheck[[#This Row],[CitcuitNumber]],H:H,7)</f>
        <v>10</v>
      </c>
      <c r="M198" s="1">
        <f>SUMIFS(I:I,J:J,BOMCheck[[#This Row],[CitcuitNumber]],G:G,"IEK-25-04")</f>
        <v>0</v>
      </c>
      <c r="N198" s="1" t="str" cm="1">
        <f t="array" ref="N198">_xlfn.TEXTJOIN(", ",TRUE,_xlfn.UNIQUE(IF(BOMCheck[[#This Row],[CitcuitNumber]]=J:J,K:K,"")))</f>
        <v>0, 1, 2, 3, 4, 5, 6, 7, 8, 9</v>
      </c>
    </row>
    <row r="199" spans="1:14" x14ac:dyDescent="0.25">
      <c r="A199">
        <v>441</v>
      </c>
      <c r="B199">
        <v>0</v>
      </c>
      <c r="C199">
        <v>0</v>
      </c>
      <c r="D199" s="1" t="s">
        <v>123</v>
      </c>
      <c r="E199" s="1" t="s">
        <v>124</v>
      </c>
      <c r="F199" t="s">
        <v>15</v>
      </c>
      <c r="G199" s="1" t="s">
        <v>163</v>
      </c>
      <c r="H199">
        <v>13</v>
      </c>
      <c r="I199">
        <v>2</v>
      </c>
      <c r="J199" t="s">
        <v>169</v>
      </c>
      <c r="K199" t="str">
        <f>RIGHT(BOMCheck[[#This Row],[CircuitID]])</f>
        <v>3</v>
      </c>
      <c r="L199" s="1">
        <f>SUMIFS(I:I,J:J,BOMCheck[[#This Row],[CitcuitNumber]],H:H,7)</f>
        <v>10</v>
      </c>
      <c r="M199" s="1">
        <f>SUMIFS(I:I,J:J,BOMCheck[[#This Row],[CitcuitNumber]],G:G,"IEK-25-04")</f>
        <v>0</v>
      </c>
      <c r="N199" s="1" t="str" cm="1">
        <f t="array" ref="N199">_xlfn.TEXTJOIN(", ",TRUE,_xlfn.UNIQUE(IF(BOMCheck[[#This Row],[CitcuitNumber]]=J:J,K:K,"")))</f>
        <v>0, 1, 2, 3, 4, 5, 6, 7, 8, 9</v>
      </c>
    </row>
    <row r="200" spans="1:14" x14ac:dyDescent="0.25">
      <c r="A200">
        <v>441</v>
      </c>
      <c r="B200">
        <v>0</v>
      </c>
      <c r="C200">
        <v>0</v>
      </c>
      <c r="D200" s="1" t="s">
        <v>123</v>
      </c>
      <c r="E200" s="1" t="s">
        <v>124</v>
      </c>
      <c r="F200" t="s">
        <v>15</v>
      </c>
      <c r="G200" s="1" t="s">
        <v>167</v>
      </c>
      <c r="H200">
        <v>1</v>
      </c>
      <c r="I200">
        <v>34.119999999999997</v>
      </c>
      <c r="J200" t="s">
        <v>169</v>
      </c>
      <c r="K200" t="str">
        <f>RIGHT(BOMCheck[[#This Row],[CircuitID]])</f>
        <v>3</v>
      </c>
      <c r="L200" s="1">
        <f>SUMIFS(I:I,J:J,BOMCheck[[#This Row],[CitcuitNumber]],H:H,7)</f>
        <v>10</v>
      </c>
      <c r="M200" s="1">
        <f>SUMIFS(I:I,J:J,BOMCheck[[#This Row],[CitcuitNumber]],G:G,"IEK-25-04")</f>
        <v>0</v>
      </c>
      <c r="N200" s="1" t="str" cm="1">
        <f t="array" ref="N200">_xlfn.TEXTJOIN(", ",TRUE,_xlfn.UNIQUE(IF(BOMCheck[[#This Row],[CitcuitNumber]]=J:J,K:K,"")))</f>
        <v>0, 1, 2, 3, 4, 5, 6, 7, 8, 9</v>
      </c>
    </row>
    <row r="201" spans="1:14" x14ac:dyDescent="0.25">
      <c r="A201">
        <v>442</v>
      </c>
      <c r="B201">
        <v>0</v>
      </c>
      <c r="C201">
        <v>0</v>
      </c>
      <c r="D201" s="1" t="s">
        <v>125</v>
      </c>
      <c r="E201" s="1" t="s">
        <v>126</v>
      </c>
      <c r="F201" t="s">
        <v>15</v>
      </c>
      <c r="G201" s="1" t="s">
        <v>44</v>
      </c>
      <c r="H201">
        <v>11</v>
      </c>
      <c r="I201">
        <v>0.5</v>
      </c>
      <c r="J201" t="s">
        <v>169</v>
      </c>
      <c r="K201" t="str">
        <f>RIGHT(BOMCheck[[#This Row],[CircuitID]])</f>
        <v>4</v>
      </c>
      <c r="L201" s="1">
        <f>SUMIFS(I:I,J:J,BOMCheck[[#This Row],[CitcuitNumber]],H:H,7)</f>
        <v>10</v>
      </c>
      <c r="M201" s="1">
        <f>SUMIFS(I:I,J:J,BOMCheck[[#This Row],[CitcuitNumber]],G:G,"IEK-25-04")</f>
        <v>0</v>
      </c>
      <c r="N201" s="1" t="str" cm="1">
        <f t="array" ref="N201">_xlfn.TEXTJOIN(", ",TRUE,_xlfn.UNIQUE(IF(BOMCheck[[#This Row],[CitcuitNumber]]=J:J,K:K,"")))</f>
        <v>0, 1, 2, 3, 4, 5, 6, 7, 8, 9</v>
      </c>
    </row>
    <row r="202" spans="1:14" x14ac:dyDescent="0.25">
      <c r="A202">
        <v>442</v>
      </c>
      <c r="B202">
        <v>0</v>
      </c>
      <c r="C202">
        <v>0</v>
      </c>
      <c r="D202" s="1" t="s">
        <v>125</v>
      </c>
      <c r="E202" s="1" t="s">
        <v>126</v>
      </c>
      <c r="F202" t="s">
        <v>15</v>
      </c>
      <c r="G202" s="1" t="s">
        <v>45</v>
      </c>
      <c r="H202">
        <v>10</v>
      </c>
      <c r="I202">
        <v>1</v>
      </c>
      <c r="J202" t="s">
        <v>169</v>
      </c>
      <c r="K202" t="str">
        <f>RIGHT(BOMCheck[[#This Row],[CircuitID]])</f>
        <v>4</v>
      </c>
      <c r="L202" s="1">
        <f>SUMIFS(I:I,J:J,BOMCheck[[#This Row],[CitcuitNumber]],H:H,7)</f>
        <v>10</v>
      </c>
      <c r="M202" s="1">
        <f>SUMIFS(I:I,J:J,BOMCheck[[#This Row],[CitcuitNumber]],G:G,"IEK-25-04")</f>
        <v>0</v>
      </c>
      <c r="N202" s="1" t="str" cm="1">
        <f t="array" ref="N202">_xlfn.TEXTJOIN(", ",TRUE,_xlfn.UNIQUE(IF(BOMCheck[[#This Row],[CitcuitNumber]]=J:J,K:K,"")))</f>
        <v>0, 1, 2, 3, 4, 5, 6, 7, 8, 9</v>
      </c>
    </row>
    <row r="203" spans="1:14" x14ac:dyDescent="0.25">
      <c r="A203">
        <v>442</v>
      </c>
      <c r="B203">
        <v>0</v>
      </c>
      <c r="C203">
        <v>0</v>
      </c>
      <c r="D203" s="1" t="s">
        <v>125</v>
      </c>
      <c r="E203" s="1" t="s">
        <v>126</v>
      </c>
      <c r="F203" t="s">
        <v>15</v>
      </c>
      <c r="G203" s="1" t="s">
        <v>163</v>
      </c>
      <c r="H203">
        <v>13</v>
      </c>
      <c r="I203">
        <v>2</v>
      </c>
      <c r="J203" t="s">
        <v>169</v>
      </c>
      <c r="K203" t="str">
        <f>RIGHT(BOMCheck[[#This Row],[CircuitID]])</f>
        <v>4</v>
      </c>
      <c r="L203" s="1">
        <f>SUMIFS(I:I,J:J,BOMCheck[[#This Row],[CitcuitNumber]],H:H,7)</f>
        <v>10</v>
      </c>
      <c r="M203" s="1">
        <f>SUMIFS(I:I,J:J,BOMCheck[[#This Row],[CitcuitNumber]],G:G,"IEK-25-04")</f>
        <v>0</v>
      </c>
      <c r="N203" s="1" t="str" cm="1">
        <f t="array" ref="N203">_xlfn.TEXTJOIN(", ",TRUE,_xlfn.UNIQUE(IF(BOMCheck[[#This Row],[CitcuitNumber]]=J:J,K:K,"")))</f>
        <v>0, 1, 2, 3, 4, 5, 6, 7, 8, 9</v>
      </c>
    </row>
    <row r="204" spans="1:14" x14ac:dyDescent="0.25">
      <c r="A204">
        <v>442</v>
      </c>
      <c r="B204">
        <v>0</v>
      </c>
      <c r="C204">
        <v>0</v>
      </c>
      <c r="D204" s="1" t="s">
        <v>125</v>
      </c>
      <c r="E204" s="1" t="s">
        <v>126</v>
      </c>
      <c r="F204" t="s">
        <v>15</v>
      </c>
      <c r="G204" s="1" t="s">
        <v>161</v>
      </c>
      <c r="H204">
        <v>4</v>
      </c>
      <c r="I204">
        <v>1</v>
      </c>
      <c r="J204" t="s">
        <v>169</v>
      </c>
      <c r="K204" t="str">
        <f>RIGHT(BOMCheck[[#This Row],[CircuitID]])</f>
        <v>4</v>
      </c>
      <c r="L204" s="1">
        <f>SUMIFS(I:I,J:J,BOMCheck[[#This Row],[CitcuitNumber]],H:H,7)</f>
        <v>10</v>
      </c>
      <c r="M204" s="1">
        <f>SUMIFS(I:I,J:J,BOMCheck[[#This Row],[CitcuitNumber]],G:G,"IEK-25-04")</f>
        <v>0</v>
      </c>
      <c r="N204" s="1" t="str" cm="1">
        <f t="array" ref="N204">_xlfn.TEXTJOIN(", ",TRUE,_xlfn.UNIQUE(IF(BOMCheck[[#This Row],[CitcuitNumber]]=J:J,K:K,"")))</f>
        <v>0, 1, 2, 3, 4, 5, 6, 7, 8, 9</v>
      </c>
    </row>
    <row r="205" spans="1:14" x14ac:dyDescent="0.25">
      <c r="A205">
        <v>442</v>
      </c>
      <c r="B205">
        <v>0</v>
      </c>
      <c r="C205">
        <v>0</v>
      </c>
      <c r="D205" s="1" t="s">
        <v>125</v>
      </c>
      <c r="E205" s="1" t="s">
        <v>126</v>
      </c>
      <c r="F205" t="s">
        <v>15</v>
      </c>
      <c r="G205" s="1" t="s">
        <v>167</v>
      </c>
      <c r="H205">
        <v>1</v>
      </c>
      <c r="I205">
        <v>34.119999999999997</v>
      </c>
      <c r="J205" t="s">
        <v>169</v>
      </c>
      <c r="K205" t="str">
        <f>RIGHT(BOMCheck[[#This Row],[CircuitID]])</f>
        <v>4</v>
      </c>
      <c r="L205" s="1">
        <f>SUMIFS(I:I,J:J,BOMCheck[[#This Row],[CitcuitNumber]],H:H,7)</f>
        <v>10</v>
      </c>
      <c r="M205" s="1">
        <f>SUMIFS(I:I,J:J,BOMCheck[[#This Row],[CitcuitNumber]],G:G,"IEK-25-04")</f>
        <v>0</v>
      </c>
      <c r="N205" s="1" t="str" cm="1">
        <f t="array" ref="N205">_xlfn.TEXTJOIN(", ",TRUE,_xlfn.UNIQUE(IF(BOMCheck[[#This Row],[CitcuitNumber]]=J:J,K:K,"")))</f>
        <v>0, 1, 2, 3, 4, 5, 6, 7, 8, 9</v>
      </c>
    </row>
    <row r="206" spans="1:14" x14ac:dyDescent="0.25">
      <c r="A206">
        <v>442</v>
      </c>
      <c r="B206">
        <v>0</v>
      </c>
      <c r="C206">
        <v>0</v>
      </c>
      <c r="D206" s="1" t="s">
        <v>125</v>
      </c>
      <c r="E206" s="1" t="s">
        <v>126</v>
      </c>
      <c r="F206" t="s">
        <v>15</v>
      </c>
      <c r="G206" s="1" t="s">
        <v>162</v>
      </c>
      <c r="H206">
        <v>7</v>
      </c>
      <c r="I206">
        <v>1</v>
      </c>
      <c r="J206" t="s">
        <v>169</v>
      </c>
      <c r="K206" t="str">
        <f>RIGHT(BOMCheck[[#This Row],[CircuitID]])</f>
        <v>4</v>
      </c>
      <c r="L206" s="1">
        <f>SUMIFS(I:I,J:J,BOMCheck[[#This Row],[CitcuitNumber]],H:H,7)</f>
        <v>10</v>
      </c>
      <c r="M206" s="1">
        <f>SUMIFS(I:I,J:J,BOMCheck[[#This Row],[CitcuitNumber]],G:G,"IEK-25-04")</f>
        <v>0</v>
      </c>
      <c r="N206" s="1" t="str" cm="1">
        <f t="array" ref="N206">_xlfn.TEXTJOIN(", ",TRUE,_xlfn.UNIQUE(IF(BOMCheck[[#This Row],[CitcuitNumber]]=J:J,K:K,"")))</f>
        <v>0, 1, 2, 3, 4, 5, 6, 7, 8, 9</v>
      </c>
    </row>
    <row r="207" spans="1:14" x14ac:dyDescent="0.25">
      <c r="A207">
        <v>443</v>
      </c>
      <c r="B207">
        <v>0</v>
      </c>
      <c r="C207">
        <v>0</v>
      </c>
      <c r="D207" s="1" t="s">
        <v>127</v>
      </c>
      <c r="E207" s="1" t="s">
        <v>128</v>
      </c>
      <c r="F207" t="s">
        <v>15</v>
      </c>
      <c r="G207" s="1" t="s">
        <v>45</v>
      </c>
      <c r="H207">
        <v>10</v>
      </c>
      <c r="I207">
        <v>1</v>
      </c>
      <c r="J207" t="s">
        <v>169</v>
      </c>
      <c r="K207" t="str">
        <f>RIGHT(BOMCheck[[#This Row],[CircuitID]])</f>
        <v>5</v>
      </c>
      <c r="L207" s="1">
        <f>SUMIFS(I:I,J:J,BOMCheck[[#This Row],[CitcuitNumber]],H:H,7)</f>
        <v>10</v>
      </c>
      <c r="M207" s="1">
        <f>SUMIFS(I:I,J:J,BOMCheck[[#This Row],[CitcuitNumber]],G:G,"IEK-25-04")</f>
        <v>0</v>
      </c>
      <c r="N207" s="1" t="str" cm="1">
        <f t="array" ref="N207">_xlfn.TEXTJOIN(", ",TRUE,_xlfn.UNIQUE(IF(BOMCheck[[#This Row],[CitcuitNumber]]=J:J,K:K,"")))</f>
        <v>0, 1, 2, 3, 4, 5, 6, 7, 8, 9</v>
      </c>
    </row>
    <row r="208" spans="1:14" x14ac:dyDescent="0.25">
      <c r="A208">
        <v>443</v>
      </c>
      <c r="B208">
        <v>0</v>
      </c>
      <c r="C208">
        <v>0</v>
      </c>
      <c r="D208" s="1" t="s">
        <v>127</v>
      </c>
      <c r="E208" s="1" t="s">
        <v>128</v>
      </c>
      <c r="F208" t="s">
        <v>15</v>
      </c>
      <c r="G208" s="1" t="s">
        <v>163</v>
      </c>
      <c r="H208">
        <v>13</v>
      </c>
      <c r="I208">
        <v>2</v>
      </c>
      <c r="J208" t="s">
        <v>169</v>
      </c>
      <c r="K208" t="str">
        <f>RIGHT(BOMCheck[[#This Row],[CircuitID]])</f>
        <v>5</v>
      </c>
      <c r="L208" s="1">
        <f>SUMIFS(I:I,J:J,BOMCheck[[#This Row],[CitcuitNumber]],H:H,7)</f>
        <v>10</v>
      </c>
      <c r="M208" s="1">
        <f>SUMIFS(I:I,J:J,BOMCheck[[#This Row],[CitcuitNumber]],G:G,"IEK-25-04")</f>
        <v>0</v>
      </c>
      <c r="N208" s="1" t="str" cm="1">
        <f t="array" ref="N208">_xlfn.TEXTJOIN(", ",TRUE,_xlfn.UNIQUE(IF(BOMCheck[[#This Row],[CitcuitNumber]]=J:J,K:K,"")))</f>
        <v>0, 1, 2, 3, 4, 5, 6, 7, 8, 9</v>
      </c>
    </row>
    <row r="209" spans="1:14" x14ac:dyDescent="0.25">
      <c r="A209">
        <v>443</v>
      </c>
      <c r="B209">
        <v>0</v>
      </c>
      <c r="C209">
        <v>0</v>
      </c>
      <c r="D209" s="1" t="s">
        <v>127</v>
      </c>
      <c r="E209" s="1" t="s">
        <v>128</v>
      </c>
      <c r="F209" t="s">
        <v>15</v>
      </c>
      <c r="G209" s="1" t="s">
        <v>161</v>
      </c>
      <c r="H209">
        <v>4</v>
      </c>
      <c r="I209">
        <v>1</v>
      </c>
      <c r="J209" t="s">
        <v>169</v>
      </c>
      <c r="K209" t="str">
        <f>RIGHT(BOMCheck[[#This Row],[CircuitID]])</f>
        <v>5</v>
      </c>
      <c r="L209" s="1">
        <f>SUMIFS(I:I,J:J,BOMCheck[[#This Row],[CitcuitNumber]],H:H,7)</f>
        <v>10</v>
      </c>
      <c r="M209" s="1">
        <f>SUMIFS(I:I,J:J,BOMCheck[[#This Row],[CitcuitNumber]],G:G,"IEK-25-04")</f>
        <v>0</v>
      </c>
      <c r="N209" s="1" t="str" cm="1">
        <f t="array" ref="N209">_xlfn.TEXTJOIN(", ",TRUE,_xlfn.UNIQUE(IF(BOMCheck[[#This Row],[CitcuitNumber]]=J:J,K:K,"")))</f>
        <v>0, 1, 2, 3, 4, 5, 6, 7, 8, 9</v>
      </c>
    </row>
    <row r="210" spans="1:14" x14ac:dyDescent="0.25">
      <c r="A210">
        <v>443</v>
      </c>
      <c r="B210">
        <v>0</v>
      </c>
      <c r="C210">
        <v>0</v>
      </c>
      <c r="D210" s="1" t="s">
        <v>127</v>
      </c>
      <c r="E210" s="1" t="s">
        <v>128</v>
      </c>
      <c r="F210" t="s">
        <v>15</v>
      </c>
      <c r="G210" s="1" t="s">
        <v>162</v>
      </c>
      <c r="H210">
        <v>7</v>
      </c>
      <c r="I210">
        <v>1</v>
      </c>
      <c r="J210" t="s">
        <v>169</v>
      </c>
      <c r="K210" t="str">
        <f>RIGHT(BOMCheck[[#This Row],[CircuitID]])</f>
        <v>5</v>
      </c>
      <c r="L210" s="1">
        <f>SUMIFS(I:I,J:J,BOMCheck[[#This Row],[CitcuitNumber]],H:H,7)</f>
        <v>10</v>
      </c>
      <c r="M210" s="1">
        <f>SUMIFS(I:I,J:J,BOMCheck[[#This Row],[CitcuitNumber]],G:G,"IEK-25-04")</f>
        <v>0</v>
      </c>
      <c r="N210" s="1" t="str" cm="1">
        <f t="array" ref="N210">_xlfn.TEXTJOIN(", ",TRUE,_xlfn.UNIQUE(IF(BOMCheck[[#This Row],[CitcuitNumber]]=J:J,K:K,"")))</f>
        <v>0, 1, 2, 3, 4, 5, 6, 7, 8, 9</v>
      </c>
    </row>
    <row r="211" spans="1:14" x14ac:dyDescent="0.25">
      <c r="A211">
        <v>443</v>
      </c>
      <c r="B211">
        <v>0</v>
      </c>
      <c r="C211">
        <v>0</v>
      </c>
      <c r="D211" s="1" t="s">
        <v>127</v>
      </c>
      <c r="E211" s="1" t="s">
        <v>128</v>
      </c>
      <c r="F211" t="s">
        <v>15</v>
      </c>
      <c r="G211" s="1" t="s">
        <v>167</v>
      </c>
      <c r="H211">
        <v>1</v>
      </c>
      <c r="I211">
        <v>34.119999999999997</v>
      </c>
      <c r="J211" t="s">
        <v>169</v>
      </c>
      <c r="K211" t="str">
        <f>RIGHT(BOMCheck[[#This Row],[CircuitID]])</f>
        <v>5</v>
      </c>
      <c r="L211" s="1">
        <f>SUMIFS(I:I,J:J,BOMCheck[[#This Row],[CitcuitNumber]],H:H,7)</f>
        <v>10</v>
      </c>
      <c r="M211" s="1">
        <f>SUMIFS(I:I,J:J,BOMCheck[[#This Row],[CitcuitNumber]],G:G,"IEK-25-04")</f>
        <v>0</v>
      </c>
      <c r="N211" s="1" t="str" cm="1">
        <f t="array" ref="N211">_xlfn.TEXTJOIN(", ",TRUE,_xlfn.UNIQUE(IF(BOMCheck[[#This Row],[CitcuitNumber]]=J:J,K:K,"")))</f>
        <v>0, 1, 2, 3, 4, 5, 6, 7, 8, 9</v>
      </c>
    </row>
    <row r="212" spans="1:14" x14ac:dyDescent="0.25">
      <c r="A212">
        <v>443</v>
      </c>
      <c r="B212">
        <v>0</v>
      </c>
      <c r="C212">
        <v>0</v>
      </c>
      <c r="D212" s="1" t="s">
        <v>127</v>
      </c>
      <c r="E212" s="1" t="s">
        <v>128</v>
      </c>
      <c r="F212" t="s">
        <v>15</v>
      </c>
      <c r="G212" s="1" t="s">
        <v>44</v>
      </c>
      <c r="H212">
        <v>11</v>
      </c>
      <c r="I212">
        <v>0.5</v>
      </c>
      <c r="J212" t="s">
        <v>169</v>
      </c>
      <c r="K212" t="str">
        <f>RIGHT(BOMCheck[[#This Row],[CircuitID]])</f>
        <v>5</v>
      </c>
      <c r="L212" s="1">
        <f>SUMIFS(I:I,J:J,BOMCheck[[#This Row],[CitcuitNumber]],H:H,7)</f>
        <v>10</v>
      </c>
      <c r="M212" s="1">
        <f>SUMIFS(I:I,J:J,BOMCheck[[#This Row],[CitcuitNumber]],G:G,"IEK-25-04")</f>
        <v>0</v>
      </c>
      <c r="N212" s="1" t="str" cm="1">
        <f t="array" ref="N212">_xlfn.TEXTJOIN(", ",TRUE,_xlfn.UNIQUE(IF(BOMCheck[[#This Row],[CitcuitNumber]]=J:J,K:K,"")))</f>
        <v>0, 1, 2, 3, 4, 5, 6, 7, 8, 9</v>
      </c>
    </row>
    <row r="213" spans="1:14" x14ac:dyDescent="0.25">
      <c r="A213">
        <v>444</v>
      </c>
      <c r="B213">
        <v>0</v>
      </c>
      <c r="C213">
        <v>0</v>
      </c>
      <c r="D213" s="1" t="s">
        <v>129</v>
      </c>
      <c r="E213" s="1" t="s">
        <v>130</v>
      </c>
      <c r="F213" t="s">
        <v>15</v>
      </c>
      <c r="G213" s="1" t="s">
        <v>45</v>
      </c>
      <c r="H213">
        <v>10</v>
      </c>
      <c r="I213">
        <v>1</v>
      </c>
      <c r="J213" t="s">
        <v>169</v>
      </c>
      <c r="K213" t="str">
        <f>RIGHT(BOMCheck[[#This Row],[CircuitID]])</f>
        <v>6</v>
      </c>
      <c r="L213" s="1">
        <f>SUMIFS(I:I,J:J,BOMCheck[[#This Row],[CitcuitNumber]],H:H,7)</f>
        <v>10</v>
      </c>
      <c r="M213" s="1">
        <f>SUMIFS(I:I,J:J,BOMCheck[[#This Row],[CitcuitNumber]],G:G,"IEK-25-04")</f>
        <v>0</v>
      </c>
      <c r="N213" s="1" t="str" cm="1">
        <f t="array" ref="N213">_xlfn.TEXTJOIN(", ",TRUE,_xlfn.UNIQUE(IF(BOMCheck[[#This Row],[CitcuitNumber]]=J:J,K:K,"")))</f>
        <v>0, 1, 2, 3, 4, 5, 6, 7, 8, 9</v>
      </c>
    </row>
    <row r="214" spans="1:14" x14ac:dyDescent="0.25">
      <c r="A214">
        <v>444</v>
      </c>
      <c r="B214">
        <v>0</v>
      </c>
      <c r="C214">
        <v>0</v>
      </c>
      <c r="D214" s="1" t="s">
        <v>129</v>
      </c>
      <c r="E214" s="1" t="s">
        <v>130</v>
      </c>
      <c r="F214" t="s">
        <v>15</v>
      </c>
      <c r="G214" s="1" t="s">
        <v>163</v>
      </c>
      <c r="H214">
        <v>13</v>
      </c>
      <c r="I214">
        <v>2</v>
      </c>
      <c r="J214" t="s">
        <v>169</v>
      </c>
      <c r="K214" t="str">
        <f>RIGHT(BOMCheck[[#This Row],[CircuitID]])</f>
        <v>6</v>
      </c>
      <c r="L214" s="1">
        <f>SUMIFS(I:I,J:J,BOMCheck[[#This Row],[CitcuitNumber]],H:H,7)</f>
        <v>10</v>
      </c>
      <c r="M214" s="1">
        <f>SUMIFS(I:I,J:J,BOMCheck[[#This Row],[CitcuitNumber]],G:G,"IEK-25-04")</f>
        <v>0</v>
      </c>
      <c r="N214" s="1" t="str" cm="1">
        <f t="array" ref="N214">_xlfn.TEXTJOIN(", ",TRUE,_xlfn.UNIQUE(IF(BOMCheck[[#This Row],[CitcuitNumber]]=J:J,K:K,"")))</f>
        <v>0, 1, 2, 3, 4, 5, 6, 7, 8, 9</v>
      </c>
    </row>
    <row r="215" spans="1:14" x14ac:dyDescent="0.25">
      <c r="A215">
        <v>444</v>
      </c>
      <c r="B215">
        <v>0</v>
      </c>
      <c r="C215">
        <v>0</v>
      </c>
      <c r="D215" s="1" t="s">
        <v>129</v>
      </c>
      <c r="E215" s="1" t="s">
        <v>130</v>
      </c>
      <c r="F215" t="s">
        <v>15</v>
      </c>
      <c r="G215" s="1" t="s">
        <v>162</v>
      </c>
      <c r="H215">
        <v>7</v>
      </c>
      <c r="I215">
        <v>1</v>
      </c>
      <c r="J215" t="s">
        <v>169</v>
      </c>
      <c r="K215" t="str">
        <f>RIGHT(BOMCheck[[#This Row],[CircuitID]])</f>
        <v>6</v>
      </c>
      <c r="L215" s="1">
        <f>SUMIFS(I:I,J:J,BOMCheck[[#This Row],[CitcuitNumber]],H:H,7)</f>
        <v>10</v>
      </c>
      <c r="M215" s="1">
        <f>SUMIFS(I:I,J:J,BOMCheck[[#This Row],[CitcuitNumber]],G:G,"IEK-25-04")</f>
        <v>0</v>
      </c>
      <c r="N215" s="1" t="str" cm="1">
        <f t="array" ref="N215">_xlfn.TEXTJOIN(", ",TRUE,_xlfn.UNIQUE(IF(BOMCheck[[#This Row],[CitcuitNumber]]=J:J,K:K,"")))</f>
        <v>0, 1, 2, 3, 4, 5, 6, 7, 8, 9</v>
      </c>
    </row>
    <row r="216" spans="1:14" x14ac:dyDescent="0.25">
      <c r="A216">
        <v>444</v>
      </c>
      <c r="B216">
        <v>0</v>
      </c>
      <c r="C216">
        <v>0</v>
      </c>
      <c r="D216" s="1" t="s">
        <v>129</v>
      </c>
      <c r="E216" s="1" t="s">
        <v>130</v>
      </c>
      <c r="F216" t="s">
        <v>15</v>
      </c>
      <c r="G216" s="1" t="s">
        <v>161</v>
      </c>
      <c r="H216">
        <v>4</v>
      </c>
      <c r="I216">
        <v>1</v>
      </c>
      <c r="J216" t="s">
        <v>169</v>
      </c>
      <c r="K216" t="str">
        <f>RIGHT(BOMCheck[[#This Row],[CircuitID]])</f>
        <v>6</v>
      </c>
      <c r="L216" s="1">
        <f>SUMIFS(I:I,J:J,BOMCheck[[#This Row],[CitcuitNumber]],H:H,7)</f>
        <v>10</v>
      </c>
      <c r="M216" s="1">
        <f>SUMIFS(I:I,J:J,BOMCheck[[#This Row],[CitcuitNumber]],G:G,"IEK-25-04")</f>
        <v>0</v>
      </c>
      <c r="N216" s="1" t="str" cm="1">
        <f t="array" ref="N216">_xlfn.TEXTJOIN(", ",TRUE,_xlfn.UNIQUE(IF(BOMCheck[[#This Row],[CitcuitNumber]]=J:J,K:K,"")))</f>
        <v>0, 1, 2, 3, 4, 5, 6, 7, 8, 9</v>
      </c>
    </row>
    <row r="217" spans="1:14" x14ac:dyDescent="0.25">
      <c r="A217">
        <v>444</v>
      </c>
      <c r="B217">
        <v>0</v>
      </c>
      <c r="C217">
        <v>0</v>
      </c>
      <c r="D217" s="1" t="s">
        <v>129</v>
      </c>
      <c r="E217" s="1" t="s">
        <v>130</v>
      </c>
      <c r="F217" t="s">
        <v>15</v>
      </c>
      <c r="G217" s="1" t="s">
        <v>167</v>
      </c>
      <c r="H217">
        <v>1</v>
      </c>
      <c r="I217">
        <v>34.119999999999997</v>
      </c>
      <c r="J217" t="s">
        <v>169</v>
      </c>
      <c r="K217" t="str">
        <f>RIGHT(BOMCheck[[#This Row],[CircuitID]])</f>
        <v>6</v>
      </c>
      <c r="L217" s="1">
        <f>SUMIFS(I:I,J:J,BOMCheck[[#This Row],[CitcuitNumber]],H:H,7)</f>
        <v>10</v>
      </c>
      <c r="M217" s="1">
        <f>SUMIFS(I:I,J:J,BOMCheck[[#This Row],[CitcuitNumber]],G:G,"IEK-25-04")</f>
        <v>0</v>
      </c>
      <c r="N217" s="1" t="str" cm="1">
        <f t="array" ref="N217">_xlfn.TEXTJOIN(", ",TRUE,_xlfn.UNIQUE(IF(BOMCheck[[#This Row],[CitcuitNumber]]=J:J,K:K,"")))</f>
        <v>0, 1, 2, 3, 4, 5, 6, 7, 8, 9</v>
      </c>
    </row>
    <row r="218" spans="1:14" x14ac:dyDescent="0.25">
      <c r="A218">
        <v>444</v>
      </c>
      <c r="B218">
        <v>0</v>
      </c>
      <c r="C218">
        <v>0</v>
      </c>
      <c r="D218" s="1" t="s">
        <v>129</v>
      </c>
      <c r="E218" s="1" t="s">
        <v>130</v>
      </c>
      <c r="F218" t="s">
        <v>15</v>
      </c>
      <c r="G218" s="1" t="s">
        <v>44</v>
      </c>
      <c r="H218">
        <v>11</v>
      </c>
      <c r="I218">
        <v>0.5</v>
      </c>
      <c r="J218" t="s">
        <v>169</v>
      </c>
      <c r="K218" t="str">
        <f>RIGHT(BOMCheck[[#This Row],[CircuitID]])</f>
        <v>6</v>
      </c>
      <c r="L218" s="1">
        <f>SUMIFS(I:I,J:J,BOMCheck[[#This Row],[CitcuitNumber]],H:H,7)</f>
        <v>10</v>
      </c>
      <c r="M218" s="1">
        <f>SUMIFS(I:I,J:J,BOMCheck[[#This Row],[CitcuitNumber]],G:G,"IEK-25-04")</f>
        <v>0</v>
      </c>
      <c r="N218" s="1" t="str" cm="1">
        <f t="array" ref="N218">_xlfn.TEXTJOIN(", ",TRUE,_xlfn.UNIQUE(IF(BOMCheck[[#This Row],[CitcuitNumber]]=J:J,K:K,"")))</f>
        <v>0, 1, 2, 3, 4, 5, 6, 7, 8, 9</v>
      </c>
    </row>
    <row r="219" spans="1:14" x14ac:dyDescent="0.25">
      <c r="A219">
        <v>445</v>
      </c>
      <c r="B219">
        <v>0</v>
      </c>
      <c r="C219">
        <v>0</v>
      </c>
      <c r="D219" s="1" t="s">
        <v>131</v>
      </c>
      <c r="E219" s="1" t="s">
        <v>132</v>
      </c>
      <c r="F219" t="s">
        <v>15</v>
      </c>
      <c r="G219" s="1" t="s">
        <v>45</v>
      </c>
      <c r="H219">
        <v>10</v>
      </c>
      <c r="I219">
        <v>1</v>
      </c>
      <c r="J219" t="s">
        <v>169</v>
      </c>
      <c r="K219" t="str">
        <f>RIGHT(BOMCheck[[#This Row],[CircuitID]])</f>
        <v>7</v>
      </c>
      <c r="L219" s="1">
        <f>SUMIFS(I:I,J:J,BOMCheck[[#This Row],[CitcuitNumber]],H:H,7)</f>
        <v>10</v>
      </c>
      <c r="M219" s="1">
        <f>SUMIFS(I:I,J:J,BOMCheck[[#This Row],[CitcuitNumber]],G:G,"IEK-25-04")</f>
        <v>0</v>
      </c>
      <c r="N219" s="1" t="str" cm="1">
        <f t="array" ref="N219">_xlfn.TEXTJOIN(", ",TRUE,_xlfn.UNIQUE(IF(BOMCheck[[#This Row],[CitcuitNumber]]=J:J,K:K,"")))</f>
        <v>0, 1, 2, 3, 4, 5, 6, 7, 8, 9</v>
      </c>
    </row>
    <row r="220" spans="1:14" x14ac:dyDescent="0.25">
      <c r="A220">
        <v>445</v>
      </c>
      <c r="B220">
        <v>0</v>
      </c>
      <c r="C220">
        <v>0</v>
      </c>
      <c r="D220" s="1" t="s">
        <v>131</v>
      </c>
      <c r="E220" s="1" t="s">
        <v>132</v>
      </c>
      <c r="F220" t="s">
        <v>15</v>
      </c>
      <c r="G220" s="1" t="s">
        <v>163</v>
      </c>
      <c r="H220">
        <v>13</v>
      </c>
      <c r="I220">
        <v>2</v>
      </c>
      <c r="J220" t="s">
        <v>169</v>
      </c>
      <c r="K220" t="str">
        <f>RIGHT(BOMCheck[[#This Row],[CircuitID]])</f>
        <v>7</v>
      </c>
      <c r="L220" s="1">
        <f>SUMIFS(I:I,J:J,BOMCheck[[#This Row],[CitcuitNumber]],H:H,7)</f>
        <v>10</v>
      </c>
      <c r="M220" s="1">
        <f>SUMIFS(I:I,J:J,BOMCheck[[#This Row],[CitcuitNumber]],G:G,"IEK-25-04")</f>
        <v>0</v>
      </c>
      <c r="N220" s="1" t="str" cm="1">
        <f t="array" ref="N220">_xlfn.TEXTJOIN(", ",TRUE,_xlfn.UNIQUE(IF(BOMCheck[[#This Row],[CitcuitNumber]]=J:J,K:K,"")))</f>
        <v>0, 1, 2, 3, 4, 5, 6, 7, 8, 9</v>
      </c>
    </row>
    <row r="221" spans="1:14" x14ac:dyDescent="0.25">
      <c r="A221">
        <v>445</v>
      </c>
      <c r="B221">
        <v>0</v>
      </c>
      <c r="C221">
        <v>0</v>
      </c>
      <c r="D221" s="1" t="s">
        <v>131</v>
      </c>
      <c r="E221" s="1" t="s">
        <v>132</v>
      </c>
      <c r="F221" t="s">
        <v>15</v>
      </c>
      <c r="G221" s="1" t="s">
        <v>44</v>
      </c>
      <c r="H221">
        <v>11</v>
      </c>
      <c r="I221">
        <v>0.5</v>
      </c>
      <c r="J221" t="s">
        <v>169</v>
      </c>
      <c r="K221" t="str">
        <f>RIGHT(BOMCheck[[#This Row],[CircuitID]])</f>
        <v>7</v>
      </c>
      <c r="L221" s="1">
        <f>SUMIFS(I:I,J:J,BOMCheck[[#This Row],[CitcuitNumber]],H:H,7)</f>
        <v>10</v>
      </c>
      <c r="M221" s="1">
        <f>SUMIFS(I:I,J:J,BOMCheck[[#This Row],[CitcuitNumber]],G:G,"IEK-25-04")</f>
        <v>0</v>
      </c>
      <c r="N221" s="1" t="str" cm="1">
        <f t="array" ref="N221">_xlfn.TEXTJOIN(", ",TRUE,_xlfn.UNIQUE(IF(BOMCheck[[#This Row],[CitcuitNumber]]=J:J,K:K,"")))</f>
        <v>0, 1, 2, 3, 4, 5, 6, 7, 8, 9</v>
      </c>
    </row>
    <row r="222" spans="1:14" x14ac:dyDescent="0.25">
      <c r="A222">
        <v>445</v>
      </c>
      <c r="B222">
        <v>0</v>
      </c>
      <c r="C222">
        <v>0</v>
      </c>
      <c r="D222" s="1" t="s">
        <v>131</v>
      </c>
      <c r="E222" s="1" t="s">
        <v>132</v>
      </c>
      <c r="F222" t="s">
        <v>15</v>
      </c>
      <c r="G222" s="1" t="s">
        <v>162</v>
      </c>
      <c r="H222">
        <v>7</v>
      </c>
      <c r="I222">
        <v>1</v>
      </c>
      <c r="J222" t="s">
        <v>169</v>
      </c>
      <c r="K222" t="str">
        <f>RIGHT(BOMCheck[[#This Row],[CircuitID]])</f>
        <v>7</v>
      </c>
      <c r="L222" s="1">
        <f>SUMIFS(I:I,J:J,BOMCheck[[#This Row],[CitcuitNumber]],H:H,7)</f>
        <v>10</v>
      </c>
      <c r="M222" s="1">
        <f>SUMIFS(I:I,J:J,BOMCheck[[#This Row],[CitcuitNumber]],G:G,"IEK-25-04")</f>
        <v>0</v>
      </c>
      <c r="N222" s="1" t="str" cm="1">
        <f t="array" ref="N222">_xlfn.TEXTJOIN(", ",TRUE,_xlfn.UNIQUE(IF(BOMCheck[[#This Row],[CitcuitNumber]]=J:J,K:K,"")))</f>
        <v>0, 1, 2, 3, 4, 5, 6, 7, 8, 9</v>
      </c>
    </row>
    <row r="223" spans="1:14" x14ac:dyDescent="0.25">
      <c r="A223">
        <v>445</v>
      </c>
      <c r="B223">
        <v>0</v>
      </c>
      <c r="C223">
        <v>0</v>
      </c>
      <c r="D223" s="1" t="s">
        <v>131</v>
      </c>
      <c r="E223" s="1" t="s">
        <v>132</v>
      </c>
      <c r="F223" t="s">
        <v>15</v>
      </c>
      <c r="G223" s="1" t="s">
        <v>167</v>
      </c>
      <c r="H223">
        <v>1</v>
      </c>
      <c r="I223">
        <v>34.119999999999997</v>
      </c>
      <c r="J223" t="s">
        <v>169</v>
      </c>
      <c r="K223" t="str">
        <f>RIGHT(BOMCheck[[#This Row],[CircuitID]])</f>
        <v>7</v>
      </c>
      <c r="L223" s="1">
        <f>SUMIFS(I:I,J:J,BOMCheck[[#This Row],[CitcuitNumber]],H:H,7)</f>
        <v>10</v>
      </c>
      <c r="M223" s="1">
        <f>SUMIFS(I:I,J:J,BOMCheck[[#This Row],[CitcuitNumber]],G:G,"IEK-25-04")</f>
        <v>0</v>
      </c>
      <c r="N223" s="1" t="str" cm="1">
        <f t="array" ref="N223">_xlfn.TEXTJOIN(", ",TRUE,_xlfn.UNIQUE(IF(BOMCheck[[#This Row],[CitcuitNumber]]=J:J,K:K,"")))</f>
        <v>0, 1, 2, 3, 4, 5, 6, 7, 8, 9</v>
      </c>
    </row>
    <row r="224" spans="1:14" x14ac:dyDescent="0.25">
      <c r="A224">
        <v>445</v>
      </c>
      <c r="B224">
        <v>0</v>
      </c>
      <c r="C224">
        <v>0</v>
      </c>
      <c r="D224" s="1" t="s">
        <v>131</v>
      </c>
      <c r="E224" s="1" t="s">
        <v>132</v>
      </c>
      <c r="F224" t="s">
        <v>15</v>
      </c>
      <c r="G224" s="1" t="s">
        <v>161</v>
      </c>
      <c r="H224">
        <v>4</v>
      </c>
      <c r="I224">
        <v>1</v>
      </c>
      <c r="J224" t="s">
        <v>169</v>
      </c>
      <c r="K224" t="str">
        <f>RIGHT(BOMCheck[[#This Row],[CircuitID]])</f>
        <v>7</v>
      </c>
      <c r="L224" s="1">
        <f>SUMIFS(I:I,J:J,BOMCheck[[#This Row],[CitcuitNumber]],H:H,7)</f>
        <v>10</v>
      </c>
      <c r="M224" s="1">
        <f>SUMIFS(I:I,J:J,BOMCheck[[#This Row],[CitcuitNumber]],G:G,"IEK-25-04")</f>
        <v>0</v>
      </c>
      <c r="N224" s="1" t="str" cm="1">
        <f t="array" ref="N224">_xlfn.TEXTJOIN(", ",TRUE,_xlfn.UNIQUE(IF(BOMCheck[[#This Row],[CitcuitNumber]]=J:J,K:K,"")))</f>
        <v>0, 1, 2, 3, 4, 5, 6, 7, 8, 9</v>
      </c>
    </row>
    <row r="225" spans="1:14" x14ac:dyDescent="0.25">
      <c r="A225">
        <v>446</v>
      </c>
      <c r="B225">
        <v>0</v>
      </c>
      <c r="C225">
        <v>0</v>
      </c>
      <c r="D225" s="1" t="s">
        <v>133</v>
      </c>
      <c r="E225" s="1" t="s">
        <v>134</v>
      </c>
      <c r="F225" t="s">
        <v>15</v>
      </c>
      <c r="G225" s="1" t="s">
        <v>44</v>
      </c>
      <c r="H225">
        <v>11</v>
      </c>
      <c r="I225">
        <v>1.2</v>
      </c>
      <c r="J225" t="s">
        <v>169</v>
      </c>
      <c r="K225" t="str">
        <f>RIGHT(BOMCheck[[#This Row],[CircuitID]])</f>
        <v>8</v>
      </c>
      <c r="L225" s="1">
        <f>SUMIFS(I:I,J:J,BOMCheck[[#This Row],[CitcuitNumber]],H:H,7)</f>
        <v>10</v>
      </c>
      <c r="M225" s="1">
        <f>SUMIFS(I:I,J:J,BOMCheck[[#This Row],[CitcuitNumber]],G:G,"IEK-25-04")</f>
        <v>0</v>
      </c>
      <c r="N225" s="1" t="str" cm="1">
        <f t="array" ref="N225">_xlfn.TEXTJOIN(", ",TRUE,_xlfn.UNIQUE(IF(BOMCheck[[#This Row],[CitcuitNumber]]=J:J,K:K,"")))</f>
        <v>0, 1, 2, 3, 4, 5, 6, 7, 8, 9</v>
      </c>
    </row>
    <row r="226" spans="1:14" x14ac:dyDescent="0.25">
      <c r="A226">
        <v>446</v>
      </c>
      <c r="B226">
        <v>0</v>
      </c>
      <c r="C226">
        <v>0</v>
      </c>
      <c r="D226" s="1" t="s">
        <v>133</v>
      </c>
      <c r="E226" s="1" t="s">
        <v>134</v>
      </c>
      <c r="F226" t="s">
        <v>15</v>
      </c>
      <c r="G226" s="1" t="s">
        <v>162</v>
      </c>
      <c r="H226">
        <v>7</v>
      </c>
      <c r="I226">
        <v>1</v>
      </c>
      <c r="J226" t="s">
        <v>169</v>
      </c>
      <c r="K226" t="str">
        <f>RIGHT(BOMCheck[[#This Row],[CircuitID]])</f>
        <v>8</v>
      </c>
      <c r="L226" s="1">
        <f>SUMIFS(I:I,J:J,BOMCheck[[#This Row],[CitcuitNumber]],H:H,7)</f>
        <v>10</v>
      </c>
      <c r="M226" s="1">
        <f>SUMIFS(I:I,J:J,BOMCheck[[#This Row],[CitcuitNumber]],G:G,"IEK-25-04")</f>
        <v>0</v>
      </c>
      <c r="N226" s="1" t="str" cm="1">
        <f t="array" ref="N226">_xlfn.TEXTJOIN(", ",TRUE,_xlfn.UNIQUE(IF(BOMCheck[[#This Row],[CitcuitNumber]]=J:J,K:K,"")))</f>
        <v>0, 1, 2, 3, 4, 5, 6, 7, 8, 9</v>
      </c>
    </row>
    <row r="227" spans="1:14" x14ac:dyDescent="0.25">
      <c r="A227">
        <v>446</v>
      </c>
      <c r="B227">
        <v>0</v>
      </c>
      <c r="C227">
        <v>0</v>
      </c>
      <c r="D227" s="1" t="s">
        <v>133</v>
      </c>
      <c r="E227" s="1" t="s">
        <v>134</v>
      </c>
      <c r="F227" t="s">
        <v>15</v>
      </c>
      <c r="G227" s="1" t="s">
        <v>43</v>
      </c>
      <c r="H227">
        <v>10</v>
      </c>
      <c r="I227">
        <v>1</v>
      </c>
      <c r="J227" t="s">
        <v>169</v>
      </c>
      <c r="K227" t="str">
        <f>RIGHT(BOMCheck[[#This Row],[CircuitID]])</f>
        <v>8</v>
      </c>
      <c r="L227" s="1">
        <f>SUMIFS(I:I,J:J,BOMCheck[[#This Row],[CitcuitNumber]],H:H,7)</f>
        <v>10</v>
      </c>
      <c r="M227" s="1">
        <f>SUMIFS(I:I,J:J,BOMCheck[[#This Row],[CitcuitNumber]],G:G,"IEK-25-04")</f>
        <v>0</v>
      </c>
      <c r="N227" s="1" t="str" cm="1">
        <f t="array" ref="N227">_xlfn.TEXTJOIN(", ",TRUE,_xlfn.UNIQUE(IF(BOMCheck[[#This Row],[CitcuitNumber]]=J:J,K:K,"")))</f>
        <v>0, 1, 2, 3, 4, 5, 6, 7, 8, 9</v>
      </c>
    </row>
    <row r="228" spans="1:14" x14ac:dyDescent="0.25">
      <c r="A228">
        <v>446</v>
      </c>
      <c r="B228">
        <v>0</v>
      </c>
      <c r="C228">
        <v>0</v>
      </c>
      <c r="D228" s="1" t="s">
        <v>133</v>
      </c>
      <c r="E228" s="1" t="s">
        <v>134</v>
      </c>
      <c r="F228" t="s">
        <v>15</v>
      </c>
      <c r="G228" s="1" t="s">
        <v>167</v>
      </c>
      <c r="H228">
        <v>1</v>
      </c>
      <c r="I228">
        <v>50.52</v>
      </c>
      <c r="J228" t="s">
        <v>169</v>
      </c>
      <c r="K228" t="str">
        <f>RIGHT(BOMCheck[[#This Row],[CircuitID]])</f>
        <v>8</v>
      </c>
      <c r="L228" s="1">
        <f>SUMIFS(I:I,J:J,BOMCheck[[#This Row],[CitcuitNumber]],H:H,7)</f>
        <v>10</v>
      </c>
      <c r="M228" s="1">
        <f>SUMIFS(I:I,J:J,BOMCheck[[#This Row],[CitcuitNumber]],G:G,"IEK-25-04")</f>
        <v>0</v>
      </c>
      <c r="N228" s="1" t="str" cm="1">
        <f t="array" ref="N228">_xlfn.TEXTJOIN(", ",TRUE,_xlfn.UNIQUE(IF(BOMCheck[[#This Row],[CitcuitNumber]]=J:J,K:K,"")))</f>
        <v>0, 1, 2, 3, 4, 5, 6, 7, 8, 9</v>
      </c>
    </row>
    <row r="229" spans="1:14" x14ac:dyDescent="0.25">
      <c r="A229">
        <v>446</v>
      </c>
      <c r="B229">
        <v>0</v>
      </c>
      <c r="C229">
        <v>0</v>
      </c>
      <c r="D229" s="1" t="s">
        <v>133</v>
      </c>
      <c r="E229" s="1" t="s">
        <v>134</v>
      </c>
      <c r="F229" t="s">
        <v>15</v>
      </c>
      <c r="G229" s="1" t="s">
        <v>161</v>
      </c>
      <c r="H229">
        <v>4</v>
      </c>
      <c r="I229">
        <v>1</v>
      </c>
      <c r="J229" t="s">
        <v>169</v>
      </c>
      <c r="K229" t="str">
        <f>RIGHT(BOMCheck[[#This Row],[CircuitID]])</f>
        <v>8</v>
      </c>
      <c r="L229" s="1">
        <f>SUMIFS(I:I,J:J,BOMCheck[[#This Row],[CitcuitNumber]],H:H,7)</f>
        <v>10</v>
      </c>
      <c r="M229" s="1">
        <f>SUMIFS(I:I,J:J,BOMCheck[[#This Row],[CitcuitNumber]],G:G,"IEK-25-04")</f>
        <v>0</v>
      </c>
      <c r="N229" s="1" t="str" cm="1">
        <f t="array" ref="N229">_xlfn.TEXTJOIN(", ",TRUE,_xlfn.UNIQUE(IF(BOMCheck[[#This Row],[CitcuitNumber]]=J:J,K:K,"")))</f>
        <v>0, 1, 2, 3, 4, 5, 6, 7, 8, 9</v>
      </c>
    </row>
    <row r="230" spans="1:14" x14ac:dyDescent="0.25">
      <c r="A230">
        <v>446</v>
      </c>
      <c r="B230">
        <v>0</v>
      </c>
      <c r="C230">
        <v>0</v>
      </c>
      <c r="D230" s="1" t="s">
        <v>133</v>
      </c>
      <c r="E230" s="1" t="s">
        <v>134</v>
      </c>
      <c r="F230" t="s">
        <v>15</v>
      </c>
      <c r="G230" s="1" t="s">
        <v>163</v>
      </c>
      <c r="H230">
        <v>13</v>
      </c>
      <c r="I230">
        <v>3</v>
      </c>
      <c r="J230" t="s">
        <v>169</v>
      </c>
      <c r="K230" t="str">
        <f>RIGHT(BOMCheck[[#This Row],[CircuitID]])</f>
        <v>8</v>
      </c>
      <c r="L230" s="1">
        <f>SUMIFS(I:I,J:J,BOMCheck[[#This Row],[CitcuitNumber]],H:H,7)</f>
        <v>10</v>
      </c>
      <c r="M230" s="1">
        <f>SUMIFS(I:I,J:J,BOMCheck[[#This Row],[CitcuitNumber]],G:G,"IEK-25-04")</f>
        <v>0</v>
      </c>
      <c r="N230" s="1" t="str" cm="1">
        <f t="array" ref="N230">_xlfn.TEXTJOIN(", ",TRUE,_xlfn.UNIQUE(IF(BOMCheck[[#This Row],[CitcuitNumber]]=J:J,K:K,"")))</f>
        <v>0, 1, 2, 3, 4, 5, 6, 7, 8, 9</v>
      </c>
    </row>
    <row r="231" spans="1:14" x14ac:dyDescent="0.25">
      <c r="A231">
        <v>447</v>
      </c>
      <c r="B231">
        <v>0</v>
      </c>
      <c r="C231">
        <v>0</v>
      </c>
      <c r="D231" s="1" t="s">
        <v>135</v>
      </c>
      <c r="E231" s="1" t="s">
        <v>136</v>
      </c>
      <c r="F231" t="s">
        <v>15</v>
      </c>
      <c r="G231" s="1" t="s">
        <v>162</v>
      </c>
      <c r="H231">
        <v>7</v>
      </c>
      <c r="I231">
        <v>1</v>
      </c>
      <c r="J231" t="s">
        <v>169</v>
      </c>
      <c r="K231" t="str">
        <f>RIGHT(BOMCheck[[#This Row],[CircuitID]])</f>
        <v>9</v>
      </c>
      <c r="L231" s="1">
        <f>SUMIFS(I:I,J:J,BOMCheck[[#This Row],[CitcuitNumber]],H:H,7)</f>
        <v>10</v>
      </c>
      <c r="M231" s="1">
        <f>SUMIFS(I:I,J:J,BOMCheck[[#This Row],[CitcuitNumber]],G:G,"IEK-25-04")</f>
        <v>0</v>
      </c>
      <c r="N231" s="1" t="str" cm="1">
        <f t="array" ref="N231">_xlfn.TEXTJOIN(", ",TRUE,_xlfn.UNIQUE(IF(BOMCheck[[#This Row],[CitcuitNumber]]=J:J,K:K,"")))</f>
        <v>0, 1, 2, 3, 4, 5, 6, 7, 8, 9</v>
      </c>
    </row>
    <row r="232" spans="1:14" x14ac:dyDescent="0.25">
      <c r="A232">
        <v>447</v>
      </c>
      <c r="B232">
        <v>0</v>
      </c>
      <c r="C232">
        <v>0</v>
      </c>
      <c r="D232" s="1" t="s">
        <v>135</v>
      </c>
      <c r="E232" s="1" t="s">
        <v>136</v>
      </c>
      <c r="F232" t="s">
        <v>15</v>
      </c>
      <c r="G232" s="1" t="s">
        <v>43</v>
      </c>
      <c r="H232">
        <v>10</v>
      </c>
      <c r="I232">
        <v>1</v>
      </c>
      <c r="J232" t="s">
        <v>169</v>
      </c>
      <c r="K232" t="str">
        <f>RIGHT(BOMCheck[[#This Row],[CircuitID]])</f>
        <v>9</v>
      </c>
      <c r="L232" s="1">
        <f>SUMIFS(I:I,J:J,BOMCheck[[#This Row],[CitcuitNumber]],H:H,7)</f>
        <v>10</v>
      </c>
      <c r="M232" s="1">
        <f>SUMIFS(I:I,J:J,BOMCheck[[#This Row],[CitcuitNumber]],G:G,"IEK-25-04")</f>
        <v>0</v>
      </c>
      <c r="N232" s="1" t="str" cm="1">
        <f t="array" ref="N232">_xlfn.TEXTJOIN(", ",TRUE,_xlfn.UNIQUE(IF(BOMCheck[[#This Row],[CitcuitNumber]]=J:J,K:K,"")))</f>
        <v>0, 1, 2, 3, 4, 5, 6, 7, 8, 9</v>
      </c>
    </row>
    <row r="233" spans="1:14" x14ac:dyDescent="0.25">
      <c r="A233">
        <v>447</v>
      </c>
      <c r="B233">
        <v>0</v>
      </c>
      <c r="C233">
        <v>0</v>
      </c>
      <c r="D233" s="1" t="s">
        <v>135</v>
      </c>
      <c r="E233" s="1" t="s">
        <v>136</v>
      </c>
      <c r="F233" t="s">
        <v>15</v>
      </c>
      <c r="G233" s="1" t="s">
        <v>163</v>
      </c>
      <c r="H233">
        <v>13</v>
      </c>
      <c r="I233">
        <v>2</v>
      </c>
      <c r="J233" t="s">
        <v>169</v>
      </c>
      <c r="K233" t="str">
        <f>RIGHT(BOMCheck[[#This Row],[CircuitID]])</f>
        <v>9</v>
      </c>
      <c r="L233" s="1">
        <f>SUMIFS(I:I,J:J,BOMCheck[[#This Row],[CitcuitNumber]],H:H,7)</f>
        <v>10</v>
      </c>
      <c r="M233" s="1">
        <f>SUMIFS(I:I,J:J,BOMCheck[[#This Row],[CitcuitNumber]],G:G,"IEK-25-04")</f>
        <v>0</v>
      </c>
      <c r="N233" s="1" t="str" cm="1">
        <f t="array" ref="N233">_xlfn.TEXTJOIN(", ",TRUE,_xlfn.UNIQUE(IF(BOMCheck[[#This Row],[CitcuitNumber]]=J:J,K:K,"")))</f>
        <v>0, 1, 2, 3, 4, 5, 6, 7, 8, 9</v>
      </c>
    </row>
    <row r="234" spans="1:14" x14ac:dyDescent="0.25">
      <c r="A234">
        <v>447</v>
      </c>
      <c r="B234">
        <v>0</v>
      </c>
      <c r="C234">
        <v>0</v>
      </c>
      <c r="D234" s="1" t="s">
        <v>135</v>
      </c>
      <c r="E234" s="1" t="s">
        <v>136</v>
      </c>
      <c r="F234" t="s">
        <v>15</v>
      </c>
      <c r="G234" s="1" t="s">
        <v>44</v>
      </c>
      <c r="H234">
        <v>11</v>
      </c>
      <c r="I234">
        <v>0.7</v>
      </c>
      <c r="J234" t="s">
        <v>169</v>
      </c>
      <c r="K234" t="str">
        <f>RIGHT(BOMCheck[[#This Row],[CircuitID]])</f>
        <v>9</v>
      </c>
      <c r="L234" s="1">
        <f>SUMIFS(I:I,J:J,BOMCheck[[#This Row],[CitcuitNumber]],H:H,7)</f>
        <v>10</v>
      </c>
      <c r="M234" s="1">
        <f>SUMIFS(I:I,J:J,BOMCheck[[#This Row],[CitcuitNumber]],G:G,"IEK-25-04")</f>
        <v>0</v>
      </c>
      <c r="N234" s="1" t="str" cm="1">
        <f t="array" ref="N234">_xlfn.TEXTJOIN(", ",TRUE,_xlfn.UNIQUE(IF(BOMCheck[[#This Row],[CitcuitNumber]]=J:J,K:K,"")))</f>
        <v>0, 1, 2, 3, 4, 5, 6, 7, 8, 9</v>
      </c>
    </row>
    <row r="235" spans="1:14" x14ac:dyDescent="0.25">
      <c r="A235">
        <v>447</v>
      </c>
      <c r="B235">
        <v>0</v>
      </c>
      <c r="C235">
        <v>0</v>
      </c>
      <c r="D235" s="1" t="s">
        <v>135</v>
      </c>
      <c r="E235" s="1" t="s">
        <v>136</v>
      </c>
      <c r="F235" t="s">
        <v>15</v>
      </c>
      <c r="G235" s="1" t="s">
        <v>161</v>
      </c>
      <c r="H235">
        <v>4</v>
      </c>
      <c r="I235">
        <v>1</v>
      </c>
      <c r="J235" t="s">
        <v>169</v>
      </c>
      <c r="K235" t="str">
        <f>RIGHT(BOMCheck[[#This Row],[CircuitID]])</f>
        <v>9</v>
      </c>
      <c r="L235" s="1">
        <f>SUMIFS(I:I,J:J,BOMCheck[[#This Row],[CitcuitNumber]],H:H,7)</f>
        <v>10</v>
      </c>
      <c r="M235" s="1">
        <f>SUMIFS(I:I,J:J,BOMCheck[[#This Row],[CitcuitNumber]],G:G,"IEK-25-04")</f>
        <v>0</v>
      </c>
      <c r="N235" s="1" t="str" cm="1">
        <f t="array" ref="N235">_xlfn.TEXTJOIN(", ",TRUE,_xlfn.UNIQUE(IF(BOMCheck[[#This Row],[CitcuitNumber]]=J:J,K:K,"")))</f>
        <v>0, 1, 2, 3, 4, 5, 6, 7, 8, 9</v>
      </c>
    </row>
    <row r="236" spans="1:14" x14ac:dyDescent="0.25">
      <c r="A236">
        <v>447</v>
      </c>
      <c r="B236">
        <v>0</v>
      </c>
      <c r="C236">
        <v>0</v>
      </c>
      <c r="D236" s="1" t="s">
        <v>135</v>
      </c>
      <c r="E236" s="1" t="s">
        <v>136</v>
      </c>
      <c r="F236" t="s">
        <v>15</v>
      </c>
      <c r="G236" s="1" t="s">
        <v>167</v>
      </c>
      <c r="H236">
        <v>1</v>
      </c>
      <c r="I236">
        <v>42.65</v>
      </c>
      <c r="J236" t="s">
        <v>169</v>
      </c>
      <c r="K236" t="str">
        <f>RIGHT(BOMCheck[[#This Row],[CircuitID]])</f>
        <v>9</v>
      </c>
      <c r="L236" s="1">
        <f>SUMIFS(I:I,J:J,BOMCheck[[#This Row],[CitcuitNumber]],H:H,7)</f>
        <v>10</v>
      </c>
      <c r="M236" s="1">
        <f>SUMIFS(I:I,J:J,BOMCheck[[#This Row],[CitcuitNumber]],G:G,"IEK-25-04")</f>
        <v>0</v>
      </c>
      <c r="N236" s="1" t="str" cm="1">
        <f t="array" ref="N236">_xlfn.TEXTJOIN(", ",TRUE,_xlfn.UNIQUE(IF(BOMCheck[[#This Row],[CitcuitNumber]]=J:J,K:K,"")))</f>
        <v>0, 1, 2, 3, 4, 5, 6, 7, 8, 9</v>
      </c>
    </row>
    <row r="237" spans="1:14" x14ac:dyDescent="0.25">
      <c r="A237">
        <v>448</v>
      </c>
      <c r="B237">
        <v>0</v>
      </c>
      <c r="C237">
        <v>0</v>
      </c>
      <c r="D237" s="1" t="s">
        <v>135</v>
      </c>
      <c r="E237" s="1" t="s">
        <v>137</v>
      </c>
      <c r="F237" t="s">
        <v>15</v>
      </c>
      <c r="G237" s="1" t="s">
        <v>162</v>
      </c>
      <c r="H237">
        <v>7</v>
      </c>
      <c r="I237">
        <v>1</v>
      </c>
      <c r="J237" t="s">
        <v>170</v>
      </c>
      <c r="K237" t="str">
        <f>RIGHT(BOMCheck[[#This Row],[CircuitID]])</f>
        <v>0</v>
      </c>
      <c r="L237" s="1">
        <f>SUMIFS(I:I,J:J,BOMCheck[[#This Row],[CitcuitNumber]],H:H,7)</f>
        <v>10</v>
      </c>
      <c r="M237" s="1">
        <f>SUMIFS(I:I,J:J,BOMCheck[[#This Row],[CitcuitNumber]],G:G,"IEK-25-04")</f>
        <v>0</v>
      </c>
      <c r="N237" s="1" t="str" cm="1">
        <f t="array" ref="N237">_xlfn.TEXTJOIN(", ",TRUE,_xlfn.UNIQUE(IF(BOMCheck[[#This Row],[CitcuitNumber]]=J:J,K:K,"")))</f>
        <v>0, 1, 2, 3, 4, 5, 6, 7, 8, 9</v>
      </c>
    </row>
    <row r="238" spans="1:14" x14ac:dyDescent="0.25">
      <c r="A238">
        <v>448</v>
      </c>
      <c r="B238">
        <v>0</v>
      </c>
      <c r="C238">
        <v>0</v>
      </c>
      <c r="D238" s="1" t="s">
        <v>135</v>
      </c>
      <c r="E238" s="1" t="s">
        <v>137</v>
      </c>
      <c r="F238" t="s">
        <v>15</v>
      </c>
      <c r="G238" s="1" t="s">
        <v>44</v>
      </c>
      <c r="H238">
        <v>11</v>
      </c>
      <c r="I238">
        <v>0.9</v>
      </c>
      <c r="J238" t="s">
        <v>170</v>
      </c>
      <c r="K238" t="str">
        <f>RIGHT(BOMCheck[[#This Row],[CircuitID]])</f>
        <v>0</v>
      </c>
      <c r="L238" s="1">
        <f>SUMIFS(I:I,J:J,BOMCheck[[#This Row],[CitcuitNumber]],H:H,7)</f>
        <v>10</v>
      </c>
      <c r="M238" s="1">
        <f>SUMIFS(I:I,J:J,BOMCheck[[#This Row],[CitcuitNumber]],G:G,"IEK-25-04")</f>
        <v>0</v>
      </c>
      <c r="N238" s="1" t="str" cm="1">
        <f t="array" ref="N238">_xlfn.TEXTJOIN(", ",TRUE,_xlfn.UNIQUE(IF(BOMCheck[[#This Row],[CitcuitNumber]]=J:J,K:K,"")))</f>
        <v>0, 1, 2, 3, 4, 5, 6, 7, 8, 9</v>
      </c>
    </row>
    <row r="239" spans="1:14" x14ac:dyDescent="0.25">
      <c r="A239">
        <v>448</v>
      </c>
      <c r="B239">
        <v>0</v>
      </c>
      <c r="C239">
        <v>0</v>
      </c>
      <c r="D239" s="1" t="s">
        <v>135</v>
      </c>
      <c r="E239" s="1" t="s">
        <v>137</v>
      </c>
      <c r="F239" t="s">
        <v>15</v>
      </c>
      <c r="G239" s="1" t="s">
        <v>163</v>
      </c>
      <c r="H239">
        <v>13</v>
      </c>
      <c r="I239">
        <v>7</v>
      </c>
      <c r="J239" t="s">
        <v>170</v>
      </c>
      <c r="K239" t="str">
        <f>RIGHT(BOMCheck[[#This Row],[CircuitID]])</f>
        <v>0</v>
      </c>
      <c r="L239" s="1">
        <f>SUMIFS(I:I,J:J,BOMCheck[[#This Row],[CitcuitNumber]],H:H,7)</f>
        <v>10</v>
      </c>
      <c r="M239" s="1">
        <f>SUMIFS(I:I,J:J,BOMCheck[[#This Row],[CitcuitNumber]],G:G,"IEK-25-04")</f>
        <v>0</v>
      </c>
      <c r="N239" s="1" t="str" cm="1">
        <f t="array" ref="N239">_xlfn.TEXTJOIN(", ",TRUE,_xlfn.UNIQUE(IF(BOMCheck[[#This Row],[CitcuitNumber]]=J:J,K:K,"")))</f>
        <v>0, 1, 2, 3, 4, 5, 6, 7, 8, 9</v>
      </c>
    </row>
    <row r="240" spans="1:14" x14ac:dyDescent="0.25">
      <c r="A240">
        <v>448</v>
      </c>
      <c r="B240">
        <v>0</v>
      </c>
      <c r="C240">
        <v>0</v>
      </c>
      <c r="D240" s="1" t="s">
        <v>135</v>
      </c>
      <c r="E240" s="1" t="s">
        <v>137</v>
      </c>
      <c r="F240" t="s">
        <v>15</v>
      </c>
      <c r="G240" s="1" t="s">
        <v>168</v>
      </c>
      <c r="H240">
        <v>4</v>
      </c>
      <c r="I240">
        <v>1</v>
      </c>
      <c r="J240" t="s">
        <v>170</v>
      </c>
      <c r="K240" t="str">
        <f>RIGHT(BOMCheck[[#This Row],[CircuitID]])</f>
        <v>0</v>
      </c>
      <c r="L240" s="1">
        <f>SUMIFS(I:I,J:J,BOMCheck[[#This Row],[CitcuitNumber]],H:H,7)</f>
        <v>10</v>
      </c>
      <c r="M240" s="1">
        <f>SUMIFS(I:I,J:J,BOMCheck[[#This Row],[CitcuitNumber]],G:G,"IEK-25-04")</f>
        <v>0</v>
      </c>
      <c r="N240" s="1" t="str" cm="1">
        <f t="array" ref="N240">_xlfn.TEXTJOIN(", ",TRUE,_xlfn.UNIQUE(IF(BOMCheck[[#This Row],[CitcuitNumber]]=J:J,K:K,"")))</f>
        <v>0, 1, 2, 3, 4, 5, 6, 7, 8, 9</v>
      </c>
    </row>
    <row r="241" spans="1:14" x14ac:dyDescent="0.25">
      <c r="A241">
        <v>448</v>
      </c>
      <c r="B241">
        <v>0</v>
      </c>
      <c r="C241">
        <v>0</v>
      </c>
      <c r="D241" s="1" t="s">
        <v>135</v>
      </c>
      <c r="E241" s="1" t="s">
        <v>137</v>
      </c>
      <c r="F241" t="s">
        <v>15</v>
      </c>
      <c r="G241" s="1" t="s">
        <v>45</v>
      </c>
      <c r="H241">
        <v>10</v>
      </c>
      <c r="I241">
        <v>1</v>
      </c>
      <c r="J241" t="s">
        <v>170</v>
      </c>
      <c r="K241" t="str">
        <f>RIGHT(BOMCheck[[#This Row],[CircuitID]])</f>
        <v>0</v>
      </c>
      <c r="L241" s="1">
        <f>SUMIFS(I:I,J:J,BOMCheck[[#This Row],[CitcuitNumber]],H:H,7)</f>
        <v>10</v>
      </c>
      <c r="M241" s="1">
        <f>SUMIFS(I:I,J:J,BOMCheck[[#This Row],[CitcuitNumber]],G:G,"IEK-25-04")</f>
        <v>0</v>
      </c>
      <c r="N241" s="1" t="str" cm="1">
        <f t="array" ref="N241">_xlfn.TEXTJOIN(", ",TRUE,_xlfn.UNIQUE(IF(BOMCheck[[#This Row],[CitcuitNumber]]=J:J,K:K,"")))</f>
        <v>0, 1, 2, 3, 4, 5, 6, 7, 8, 9</v>
      </c>
    </row>
    <row r="242" spans="1:14" x14ac:dyDescent="0.25">
      <c r="A242">
        <v>448</v>
      </c>
      <c r="B242">
        <v>0</v>
      </c>
      <c r="C242">
        <v>0</v>
      </c>
      <c r="D242" s="1" t="s">
        <v>135</v>
      </c>
      <c r="E242" s="1" t="s">
        <v>137</v>
      </c>
      <c r="F242" t="s">
        <v>15</v>
      </c>
      <c r="G242" s="1" t="s">
        <v>167</v>
      </c>
      <c r="H242">
        <v>1</v>
      </c>
      <c r="I242">
        <v>89.24</v>
      </c>
      <c r="J242" t="s">
        <v>170</v>
      </c>
      <c r="K242" t="str">
        <f>RIGHT(BOMCheck[[#This Row],[CircuitID]])</f>
        <v>0</v>
      </c>
      <c r="L242" s="1">
        <f>SUMIFS(I:I,J:J,BOMCheck[[#This Row],[CitcuitNumber]],H:H,7)</f>
        <v>10</v>
      </c>
      <c r="M242" s="1">
        <f>SUMIFS(I:I,J:J,BOMCheck[[#This Row],[CitcuitNumber]],G:G,"IEK-25-04")</f>
        <v>0</v>
      </c>
      <c r="N242" s="1" t="str" cm="1">
        <f t="array" ref="N242">_xlfn.TEXTJOIN(", ",TRUE,_xlfn.UNIQUE(IF(BOMCheck[[#This Row],[CitcuitNumber]]=J:J,K:K,"")))</f>
        <v>0, 1, 2, 3, 4, 5, 6, 7, 8, 9</v>
      </c>
    </row>
    <row r="243" spans="1:14" x14ac:dyDescent="0.25">
      <c r="A243">
        <v>448</v>
      </c>
      <c r="B243">
        <v>0</v>
      </c>
      <c r="C243">
        <v>0</v>
      </c>
      <c r="D243" s="1" t="s">
        <v>135</v>
      </c>
      <c r="E243" s="1" t="s">
        <v>137</v>
      </c>
      <c r="F243" t="s">
        <v>15</v>
      </c>
      <c r="G243" s="1" t="s">
        <v>161</v>
      </c>
      <c r="H243">
        <v>4</v>
      </c>
      <c r="I243">
        <v>1</v>
      </c>
      <c r="J243" t="s">
        <v>170</v>
      </c>
      <c r="K243" t="str">
        <f>RIGHT(BOMCheck[[#This Row],[CircuitID]])</f>
        <v>0</v>
      </c>
      <c r="L243" s="1">
        <f>SUMIFS(I:I,J:J,BOMCheck[[#This Row],[CitcuitNumber]],H:H,7)</f>
        <v>10</v>
      </c>
      <c r="M243" s="1">
        <f>SUMIFS(I:I,J:J,BOMCheck[[#This Row],[CitcuitNumber]],G:G,"IEK-25-04")</f>
        <v>0</v>
      </c>
      <c r="N243" s="1" t="str" cm="1">
        <f t="array" ref="N243">_xlfn.TEXTJOIN(", ",TRUE,_xlfn.UNIQUE(IF(BOMCheck[[#This Row],[CitcuitNumber]]=J:J,K:K,"")))</f>
        <v>0, 1, 2, 3, 4, 5, 6, 7, 8, 9</v>
      </c>
    </row>
    <row r="244" spans="1:14" x14ac:dyDescent="0.25">
      <c r="A244">
        <v>449</v>
      </c>
      <c r="B244">
        <v>0</v>
      </c>
      <c r="C244">
        <v>0</v>
      </c>
      <c r="D244" s="1" t="s">
        <v>138</v>
      </c>
      <c r="E244" s="1" t="s">
        <v>139</v>
      </c>
      <c r="F244" t="s">
        <v>15</v>
      </c>
      <c r="G244" s="1" t="s">
        <v>163</v>
      </c>
      <c r="H244">
        <v>13</v>
      </c>
      <c r="I244">
        <v>5</v>
      </c>
      <c r="J244" t="s">
        <v>170</v>
      </c>
      <c r="K244" t="str">
        <f>RIGHT(BOMCheck[[#This Row],[CircuitID]])</f>
        <v>1</v>
      </c>
      <c r="L244" s="1">
        <f>SUMIFS(I:I,J:J,BOMCheck[[#This Row],[CitcuitNumber]],H:H,7)</f>
        <v>10</v>
      </c>
      <c r="M244" s="1">
        <f>SUMIFS(I:I,J:J,BOMCheck[[#This Row],[CitcuitNumber]],G:G,"IEK-25-04")</f>
        <v>0</v>
      </c>
      <c r="N244" s="1" t="str" cm="1">
        <f t="array" ref="N244">_xlfn.TEXTJOIN(", ",TRUE,_xlfn.UNIQUE(IF(BOMCheck[[#This Row],[CitcuitNumber]]=J:J,K:K,"")))</f>
        <v>0, 1, 2, 3, 4, 5, 6, 7, 8, 9</v>
      </c>
    </row>
    <row r="245" spans="1:14" x14ac:dyDescent="0.25">
      <c r="A245">
        <v>449</v>
      </c>
      <c r="B245">
        <v>0</v>
      </c>
      <c r="C245">
        <v>0</v>
      </c>
      <c r="D245" s="1" t="s">
        <v>138</v>
      </c>
      <c r="E245" s="1" t="s">
        <v>139</v>
      </c>
      <c r="F245" t="s">
        <v>15</v>
      </c>
      <c r="G245" s="1" t="s">
        <v>43</v>
      </c>
      <c r="H245">
        <v>10</v>
      </c>
      <c r="I245">
        <v>1</v>
      </c>
      <c r="J245" t="s">
        <v>170</v>
      </c>
      <c r="K245" t="str">
        <f>RIGHT(BOMCheck[[#This Row],[CircuitID]])</f>
        <v>1</v>
      </c>
      <c r="L245" s="1">
        <f>SUMIFS(I:I,J:J,BOMCheck[[#This Row],[CitcuitNumber]],H:H,7)</f>
        <v>10</v>
      </c>
      <c r="M245" s="1">
        <f>SUMIFS(I:I,J:J,BOMCheck[[#This Row],[CitcuitNumber]],G:G,"IEK-25-04")</f>
        <v>0</v>
      </c>
      <c r="N245" s="1" t="str" cm="1">
        <f t="array" ref="N245">_xlfn.TEXTJOIN(", ",TRUE,_xlfn.UNIQUE(IF(BOMCheck[[#This Row],[CitcuitNumber]]=J:J,K:K,"")))</f>
        <v>0, 1, 2, 3, 4, 5, 6, 7, 8, 9</v>
      </c>
    </row>
    <row r="246" spans="1:14" x14ac:dyDescent="0.25">
      <c r="A246">
        <v>449</v>
      </c>
      <c r="B246">
        <v>0</v>
      </c>
      <c r="C246">
        <v>0</v>
      </c>
      <c r="D246" s="1" t="s">
        <v>138</v>
      </c>
      <c r="E246" s="1" t="s">
        <v>139</v>
      </c>
      <c r="F246" t="s">
        <v>15</v>
      </c>
      <c r="G246" s="1" t="s">
        <v>44</v>
      </c>
      <c r="H246">
        <v>11</v>
      </c>
      <c r="I246">
        <v>2</v>
      </c>
      <c r="J246" t="s">
        <v>170</v>
      </c>
      <c r="K246" t="str">
        <f>RIGHT(BOMCheck[[#This Row],[CircuitID]])</f>
        <v>1</v>
      </c>
      <c r="L246" s="1">
        <f>SUMIFS(I:I,J:J,BOMCheck[[#This Row],[CitcuitNumber]],H:H,7)</f>
        <v>10</v>
      </c>
      <c r="M246" s="1">
        <f>SUMIFS(I:I,J:J,BOMCheck[[#This Row],[CitcuitNumber]],G:G,"IEK-25-04")</f>
        <v>0</v>
      </c>
      <c r="N246" s="1" t="str" cm="1">
        <f t="array" ref="N246">_xlfn.TEXTJOIN(", ",TRUE,_xlfn.UNIQUE(IF(BOMCheck[[#This Row],[CitcuitNumber]]=J:J,K:K,"")))</f>
        <v>0, 1, 2, 3, 4, 5, 6, 7, 8, 9</v>
      </c>
    </row>
    <row r="247" spans="1:14" x14ac:dyDescent="0.25">
      <c r="A247">
        <v>449</v>
      </c>
      <c r="B247">
        <v>0</v>
      </c>
      <c r="C247">
        <v>0</v>
      </c>
      <c r="D247" s="1" t="s">
        <v>138</v>
      </c>
      <c r="E247" s="1" t="s">
        <v>139</v>
      </c>
      <c r="F247" t="s">
        <v>15</v>
      </c>
      <c r="G247" s="1" t="s">
        <v>167</v>
      </c>
      <c r="H247">
        <v>1</v>
      </c>
      <c r="I247">
        <v>73.16</v>
      </c>
      <c r="J247" t="s">
        <v>170</v>
      </c>
      <c r="K247" t="str">
        <f>RIGHT(BOMCheck[[#This Row],[CircuitID]])</f>
        <v>1</v>
      </c>
      <c r="L247" s="1">
        <f>SUMIFS(I:I,J:J,BOMCheck[[#This Row],[CitcuitNumber]],H:H,7)</f>
        <v>10</v>
      </c>
      <c r="M247" s="1">
        <f>SUMIFS(I:I,J:J,BOMCheck[[#This Row],[CitcuitNumber]],G:G,"IEK-25-04")</f>
        <v>0</v>
      </c>
      <c r="N247" s="1" t="str" cm="1">
        <f t="array" ref="N247">_xlfn.TEXTJOIN(", ",TRUE,_xlfn.UNIQUE(IF(BOMCheck[[#This Row],[CitcuitNumber]]=J:J,K:K,"")))</f>
        <v>0, 1, 2, 3, 4, 5, 6, 7, 8, 9</v>
      </c>
    </row>
    <row r="248" spans="1:14" x14ac:dyDescent="0.25">
      <c r="A248">
        <v>449</v>
      </c>
      <c r="B248">
        <v>0</v>
      </c>
      <c r="C248">
        <v>0</v>
      </c>
      <c r="D248" s="1" t="s">
        <v>138</v>
      </c>
      <c r="E248" s="1" t="s">
        <v>139</v>
      </c>
      <c r="F248" t="s">
        <v>15</v>
      </c>
      <c r="G248" s="1" t="s">
        <v>161</v>
      </c>
      <c r="H248">
        <v>4</v>
      </c>
      <c r="I248">
        <v>1</v>
      </c>
      <c r="J248" t="s">
        <v>170</v>
      </c>
      <c r="K248" t="str">
        <f>RIGHT(BOMCheck[[#This Row],[CircuitID]])</f>
        <v>1</v>
      </c>
      <c r="L248" s="1">
        <f>SUMIFS(I:I,J:J,BOMCheck[[#This Row],[CitcuitNumber]],H:H,7)</f>
        <v>10</v>
      </c>
      <c r="M248" s="1">
        <f>SUMIFS(I:I,J:J,BOMCheck[[#This Row],[CitcuitNumber]],G:G,"IEK-25-04")</f>
        <v>0</v>
      </c>
      <c r="N248" s="1" t="str" cm="1">
        <f t="array" ref="N248">_xlfn.TEXTJOIN(", ",TRUE,_xlfn.UNIQUE(IF(BOMCheck[[#This Row],[CitcuitNumber]]=J:J,K:K,"")))</f>
        <v>0, 1, 2, 3, 4, 5, 6, 7, 8, 9</v>
      </c>
    </row>
    <row r="249" spans="1:14" x14ac:dyDescent="0.25">
      <c r="A249">
        <v>449</v>
      </c>
      <c r="B249">
        <v>0</v>
      </c>
      <c r="C249">
        <v>0</v>
      </c>
      <c r="D249" s="1" t="s">
        <v>138</v>
      </c>
      <c r="E249" s="1" t="s">
        <v>139</v>
      </c>
      <c r="F249" t="s">
        <v>15</v>
      </c>
      <c r="G249" s="1" t="s">
        <v>162</v>
      </c>
      <c r="H249">
        <v>7</v>
      </c>
      <c r="I249">
        <v>1</v>
      </c>
      <c r="J249" t="s">
        <v>170</v>
      </c>
      <c r="K249" t="str">
        <f>RIGHT(BOMCheck[[#This Row],[CircuitID]])</f>
        <v>1</v>
      </c>
      <c r="L249" s="1">
        <f>SUMIFS(I:I,J:J,BOMCheck[[#This Row],[CitcuitNumber]],H:H,7)</f>
        <v>10</v>
      </c>
      <c r="M249" s="1">
        <f>SUMIFS(I:I,J:J,BOMCheck[[#This Row],[CitcuitNumber]],G:G,"IEK-25-04")</f>
        <v>0</v>
      </c>
      <c r="N249" s="1" t="str" cm="1">
        <f t="array" ref="N249">_xlfn.TEXTJOIN(", ",TRUE,_xlfn.UNIQUE(IF(BOMCheck[[#This Row],[CitcuitNumber]]=J:J,K:K,"")))</f>
        <v>0, 1, 2, 3, 4, 5, 6, 7, 8, 9</v>
      </c>
    </row>
    <row r="250" spans="1:14" x14ac:dyDescent="0.25">
      <c r="A250">
        <v>450</v>
      </c>
      <c r="B250">
        <v>0</v>
      </c>
      <c r="C250">
        <v>0</v>
      </c>
      <c r="D250" s="1" t="s">
        <v>140</v>
      </c>
      <c r="E250" s="1" t="s">
        <v>141</v>
      </c>
      <c r="F250" t="s">
        <v>15</v>
      </c>
      <c r="G250" s="1" t="s">
        <v>163</v>
      </c>
      <c r="H250">
        <v>13</v>
      </c>
      <c r="I250">
        <v>2</v>
      </c>
      <c r="J250" t="s">
        <v>170</v>
      </c>
      <c r="K250" t="str">
        <f>RIGHT(BOMCheck[[#This Row],[CircuitID]])</f>
        <v>2</v>
      </c>
      <c r="L250" s="1">
        <f>SUMIFS(I:I,J:J,BOMCheck[[#This Row],[CitcuitNumber]],H:H,7)</f>
        <v>10</v>
      </c>
      <c r="M250" s="1">
        <f>SUMIFS(I:I,J:J,BOMCheck[[#This Row],[CitcuitNumber]],G:G,"IEK-25-04")</f>
        <v>0</v>
      </c>
      <c r="N250" s="1" t="str" cm="1">
        <f t="array" ref="N250">_xlfn.TEXTJOIN(", ",TRUE,_xlfn.UNIQUE(IF(BOMCheck[[#This Row],[CitcuitNumber]]=J:J,K:K,"")))</f>
        <v>0, 1, 2, 3, 4, 5, 6, 7, 8, 9</v>
      </c>
    </row>
    <row r="251" spans="1:14" x14ac:dyDescent="0.25">
      <c r="A251">
        <v>450</v>
      </c>
      <c r="B251">
        <v>0</v>
      </c>
      <c r="C251">
        <v>0</v>
      </c>
      <c r="D251" s="1" t="s">
        <v>140</v>
      </c>
      <c r="E251" s="1" t="s">
        <v>141</v>
      </c>
      <c r="F251" t="s">
        <v>15</v>
      </c>
      <c r="G251" s="1" t="s">
        <v>43</v>
      </c>
      <c r="H251">
        <v>10</v>
      </c>
      <c r="I251">
        <v>1</v>
      </c>
      <c r="J251" t="s">
        <v>170</v>
      </c>
      <c r="K251" t="str">
        <f>RIGHT(BOMCheck[[#This Row],[CircuitID]])</f>
        <v>2</v>
      </c>
      <c r="L251" s="1">
        <f>SUMIFS(I:I,J:J,BOMCheck[[#This Row],[CitcuitNumber]],H:H,7)</f>
        <v>10</v>
      </c>
      <c r="M251" s="1">
        <f>SUMIFS(I:I,J:J,BOMCheck[[#This Row],[CitcuitNumber]],G:G,"IEK-25-04")</f>
        <v>0</v>
      </c>
      <c r="N251" s="1" t="str" cm="1">
        <f t="array" ref="N251">_xlfn.TEXTJOIN(", ",TRUE,_xlfn.UNIQUE(IF(BOMCheck[[#This Row],[CitcuitNumber]]=J:J,K:K,"")))</f>
        <v>0, 1, 2, 3, 4, 5, 6, 7, 8, 9</v>
      </c>
    </row>
    <row r="252" spans="1:14" x14ac:dyDescent="0.25">
      <c r="A252">
        <v>450</v>
      </c>
      <c r="B252">
        <v>0</v>
      </c>
      <c r="C252">
        <v>0</v>
      </c>
      <c r="D252" s="1" t="s">
        <v>140</v>
      </c>
      <c r="E252" s="1" t="s">
        <v>141</v>
      </c>
      <c r="F252" t="s">
        <v>15</v>
      </c>
      <c r="G252" s="1" t="s">
        <v>44</v>
      </c>
      <c r="H252">
        <v>11</v>
      </c>
      <c r="I252">
        <v>0.7</v>
      </c>
      <c r="J252" t="s">
        <v>170</v>
      </c>
      <c r="K252" t="str">
        <f>RIGHT(BOMCheck[[#This Row],[CircuitID]])</f>
        <v>2</v>
      </c>
      <c r="L252" s="1">
        <f>SUMIFS(I:I,J:J,BOMCheck[[#This Row],[CitcuitNumber]],H:H,7)</f>
        <v>10</v>
      </c>
      <c r="M252" s="1">
        <f>SUMIFS(I:I,J:J,BOMCheck[[#This Row],[CitcuitNumber]],G:G,"IEK-25-04")</f>
        <v>0</v>
      </c>
      <c r="N252" s="1" t="str" cm="1">
        <f t="array" ref="N252">_xlfn.TEXTJOIN(", ",TRUE,_xlfn.UNIQUE(IF(BOMCheck[[#This Row],[CitcuitNumber]]=J:J,K:K,"")))</f>
        <v>0, 1, 2, 3, 4, 5, 6, 7, 8, 9</v>
      </c>
    </row>
    <row r="253" spans="1:14" x14ac:dyDescent="0.25">
      <c r="A253">
        <v>450</v>
      </c>
      <c r="B253">
        <v>0</v>
      </c>
      <c r="C253">
        <v>0</v>
      </c>
      <c r="D253" s="1" t="s">
        <v>140</v>
      </c>
      <c r="E253" s="1" t="s">
        <v>141</v>
      </c>
      <c r="F253" t="s">
        <v>15</v>
      </c>
      <c r="G253" s="1" t="s">
        <v>162</v>
      </c>
      <c r="H253">
        <v>7</v>
      </c>
      <c r="I253">
        <v>1</v>
      </c>
      <c r="J253" t="s">
        <v>170</v>
      </c>
      <c r="K253" t="str">
        <f>RIGHT(BOMCheck[[#This Row],[CircuitID]])</f>
        <v>2</v>
      </c>
      <c r="L253" s="1">
        <f>SUMIFS(I:I,J:J,BOMCheck[[#This Row],[CitcuitNumber]],H:H,7)</f>
        <v>10</v>
      </c>
      <c r="M253" s="1">
        <f>SUMIFS(I:I,J:J,BOMCheck[[#This Row],[CitcuitNumber]],G:G,"IEK-25-04")</f>
        <v>0</v>
      </c>
      <c r="N253" s="1" t="str" cm="1">
        <f t="array" ref="N253">_xlfn.TEXTJOIN(", ",TRUE,_xlfn.UNIQUE(IF(BOMCheck[[#This Row],[CitcuitNumber]]=J:J,K:K,"")))</f>
        <v>0, 1, 2, 3, 4, 5, 6, 7, 8, 9</v>
      </c>
    </row>
    <row r="254" spans="1:14" x14ac:dyDescent="0.25">
      <c r="A254">
        <v>450</v>
      </c>
      <c r="B254">
        <v>0</v>
      </c>
      <c r="C254">
        <v>0</v>
      </c>
      <c r="D254" s="1" t="s">
        <v>140</v>
      </c>
      <c r="E254" s="1" t="s">
        <v>141</v>
      </c>
      <c r="F254" t="s">
        <v>15</v>
      </c>
      <c r="G254" s="1" t="s">
        <v>161</v>
      </c>
      <c r="H254">
        <v>4</v>
      </c>
      <c r="I254">
        <v>1</v>
      </c>
      <c r="J254" t="s">
        <v>170</v>
      </c>
      <c r="K254" t="str">
        <f>RIGHT(BOMCheck[[#This Row],[CircuitID]])</f>
        <v>2</v>
      </c>
      <c r="L254" s="1">
        <f>SUMIFS(I:I,J:J,BOMCheck[[#This Row],[CitcuitNumber]],H:H,7)</f>
        <v>10</v>
      </c>
      <c r="M254" s="1">
        <f>SUMIFS(I:I,J:J,BOMCheck[[#This Row],[CitcuitNumber]],G:G,"IEK-25-04")</f>
        <v>0</v>
      </c>
      <c r="N254" s="1" t="str" cm="1">
        <f t="array" ref="N254">_xlfn.TEXTJOIN(", ",TRUE,_xlfn.UNIQUE(IF(BOMCheck[[#This Row],[CitcuitNumber]]=J:J,K:K,"")))</f>
        <v>0, 1, 2, 3, 4, 5, 6, 7, 8, 9</v>
      </c>
    </row>
    <row r="255" spans="1:14" x14ac:dyDescent="0.25">
      <c r="A255">
        <v>450</v>
      </c>
      <c r="B255">
        <v>0</v>
      </c>
      <c r="C255">
        <v>0</v>
      </c>
      <c r="D255" s="1" t="s">
        <v>140</v>
      </c>
      <c r="E255" s="1" t="s">
        <v>141</v>
      </c>
      <c r="F255" t="s">
        <v>15</v>
      </c>
      <c r="G255" s="1" t="s">
        <v>167</v>
      </c>
      <c r="H255">
        <v>1</v>
      </c>
      <c r="I255">
        <v>42.65</v>
      </c>
      <c r="J255" t="s">
        <v>170</v>
      </c>
      <c r="K255" t="str">
        <f>RIGHT(BOMCheck[[#This Row],[CircuitID]])</f>
        <v>2</v>
      </c>
      <c r="L255" s="1">
        <f>SUMIFS(I:I,J:J,BOMCheck[[#This Row],[CitcuitNumber]],H:H,7)</f>
        <v>10</v>
      </c>
      <c r="M255" s="1">
        <f>SUMIFS(I:I,J:J,BOMCheck[[#This Row],[CitcuitNumber]],G:G,"IEK-25-04")</f>
        <v>0</v>
      </c>
      <c r="N255" s="1" t="str" cm="1">
        <f t="array" ref="N255">_xlfn.TEXTJOIN(", ",TRUE,_xlfn.UNIQUE(IF(BOMCheck[[#This Row],[CitcuitNumber]]=J:J,K:K,"")))</f>
        <v>0, 1, 2, 3, 4, 5, 6, 7, 8, 9</v>
      </c>
    </row>
    <row r="256" spans="1:14" x14ac:dyDescent="0.25">
      <c r="A256">
        <v>451</v>
      </c>
      <c r="B256">
        <v>0</v>
      </c>
      <c r="C256">
        <v>0</v>
      </c>
      <c r="D256" s="1" t="s">
        <v>140</v>
      </c>
      <c r="E256" s="1" t="s">
        <v>142</v>
      </c>
      <c r="F256" t="s">
        <v>15</v>
      </c>
      <c r="G256" s="1" t="s">
        <v>163</v>
      </c>
      <c r="H256">
        <v>13</v>
      </c>
      <c r="I256">
        <v>7</v>
      </c>
      <c r="J256" t="s">
        <v>170</v>
      </c>
      <c r="K256" t="str">
        <f>RIGHT(BOMCheck[[#This Row],[CircuitID]])</f>
        <v>3</v>
      </c>
      <c r="L256" s="1">
        <f>SUMIFS(I:I,J:J,BOMCheck[[#This Row],[CitcuitNumber]],H:H,7)</f>
        <v>10</v>
      </c>
      <c r="M256" s="1">
        <f>SUMIFS(I:I,J:J,BOMCheck[[#This Row],[CitcuitNumber]],G:G,"IEK-25-04")</f>
        <v>0</v>
      </c>
      <c r="N256" s="1" t="str" cm="1">
        <f t="array" ref="N256">_xlfn.TEXTJOIN(", ",TRUE,_xlfn.UNIQUE(IF(BOMCheck[[#This Row],[CitcuitNumber]]=J:J,K:K,"")))</f>
        <v>0, 1, 2, 3, 4, 5, 6, 7, 8, 9</v>
      </c>
    </row>
    <row r="257" spans="1:14" x14ac:dyDescent="0.25">
      <c r="A257">
        <v>451</v>
      </c>
      <c r="B257">
        <v>0</v>
      </c>
      <c r="C257">
        <v>0</v>
      </c>
      <c r="D257" s="1" t="s">
        <v>140</v>
      </c>
      <c r="E257" s="1" t="s">
        <v>142</v>
      </c>
      <c r="F257" t="s">
        <v>15</v>
      </c>
      <c r="G257" s="1" t="s">
        <v>167</v>
      </c>
      <c r="H257">
        <v>1</v>
      </c>
      <c r="I257">
        <v>89.24</v>
      </c>
      <c r="J257" t="s">
        <v>170</v>
      </c>
      <c r="K257" t="str">
        <f>RIGHT(BOMCheck[[#This Row],[CircuitID]])</f>
        <v>3</v>
      </c>
      <c r="L257" s="1">
        <f>SUMIFS(I:I,J:J,BOMCheck[[#This Row],[CitcuitNumber]],H:H,7)</f>
        <v>10</v>
      </c>
      <c r="M257" s="1">
        <f>SUMIFS(I:I,J:J,BOMCheck[[#This Row],[CitcuitNumber]],G:G,"IEK-25-04")</f>
        <v>0</v>
      </c>
      <c r="N257" s="1" t="str" cm="1">
        <f t="array" ref="N257">_xlfn.TEXTJOIN(", ",TRUE,_xlfn.UNIQUE(IF(BOMCheck[[#This Row],[CitcuitNumber]]=J:J,K:K,"")))</f>
        <v>0, 1, 2, 3, 4, 5, 6, 7, 8, 9</v>
      </c>
    </row>
    <row r="258" spans="1:14" x14ac:dyDescent="0.25">
      <c r="A258">
        <v>451</v>
      </c>
      <c r="B258">
        <v>0</v>
      </c>
      <c r="C258">
        <v>0</v>
      </c>
      <c r="D258" s="1" t="s">
        <v>140</v>
      </c>
      <c r="E258" s="1" t="s">
        <v>142</v>
      </c>
      <c r="F258" t="s">
        <v>15</v>
      </c>
      <c r="G258" s="1" t="s">
        <v>168</v>
      </c>
      <c r="H258">
        <v>4</v>
      </c>
      <c r="I258">
        <v>1</v>
      </c>
      <c r="J258" t="s">
        <v>170</v>
      </c>
      <c r="K258" t="str">
        <f>RIGHT(BOMCheck[[#This Row],[CircuitID]])</f>
        <v>3</v>
      </c>
      <c r="L258" s="1">
        <f>SUMIFS(I:I,J:J,BOMCheck[[#This Row],[CitcuitNumber]],H:H,7)</f>
        <v>10</v>
      </c>
      <c r="M258" s="1">
        <f>SUMIFS(I:I,J:J,BOMCheck[[#This Row],[CitcuitNumber]],G:G,"IEK-25-04")</f>
        <v>0</v>
      </c>
      <c r="N258" s="1" t="str" cm="1">
        <f t="array" ref="N258">_xlfn.TEXTJOIN(", ",TRUE,_xlfn.UNIQUE(IF(BOMCheck[[#This Row],[CitcuitNumber]]=J:J,K:K,"")))</f>
        <v>0, 1, 2, 3, 4, 5, 6, 7, 8, 9</v>
      </c>
    </row>
    <row r="259" spans="1:14" x14ac:dyDescent="0.25">
      <c r="A259">
        <v>451</v>
      </c>
      <c r="B259">
        <v>0</v>
      </c>
      <c r="C259">
        <v>0</v>
      </c>
      <c r="D259" s="1" t="s">
        <v>140</v>
      </c>
      <c r="E259" s="1" t="s">
        <v>142</v>
      </c>
      <c r="F259" t="s">
        <v>15</v>
      </c>
      <c r="G259" s="1" t="s">
        <v>161</v>
      </c>
      <c r="H259">
        <v>4</v>
      </c>
      <c r="I259">
        <v>1</v>
      </c>
      <c r="J259" t="s">
        <v>170</v>
      </c>
      <c r="K259" t="str">
        <f>RIGHT(BOMCheck[[#This Row],[CircuitID]])</f>
        <v>3</v>
      </c>
      <c r="L259" s="1">
        <f>SUMIFS(I:I,J:J,BOMCheck[[#This Row],[CitcuitNumber]],H:H,7)</f>
        <v>10</v>
      </c>
      <c r="M259" s="1">
        <f>SUMIFS(I:I,J:J,BOMCheck[[#This Row],[CitcuitNumber]],G:G,"IEK-25-04")</f>
        <v>0</v>
      </c>
      <c r="N259" s="1" t="str" cm="1">
        <f t="array" ref="N259">_xlfn.TEXTJOIN(", ",TRUE,_xlfn.UNIQUE(IF(BOMCheck[[#This Row],[CitcuitNumber]]=J:J,K:K,"")))</f>
        <v>0, 1, 2, 3, 4, 5, 6, 7, 8, 9</v>
      </c>
    </row>
    <row r="260" spans="1:14" x14ac:dyDescent="0.25">
      <c r="A260">
        <v>451</v>
      </c>
      <c r="B260">
        <v>0</v>
      </c>
      <c r="C260">
        <v>0</v>
      </c>
      <c r="D260" s="1" t="s">
        <v>140</v>
      </c>
      <c r="E260" s="1" t="s">
        <v>142</v>
      </c>
      <c r="F260" t="s">
        <v>15</v>
      </c>
      <c r="G260" s="1" t="s">
        <v>162</v>
      </c>
      <c r="H260">
        <v>7</v>
      </c>
      <c r="I260">
        <v>1</v>
      </c>
      <c r="J260" t="s">
        <v>170</v>
      </c>
      <c r="K260" t="str">
        <f>RIGHT(BOMCheck[[#This Row],[CircuitID]])</f>
        <v>3</v>
      </c>
      <c r="L260" s="1">
        <f>SUMIFS(I:I,J:J,BOMCheck[[#This Row],[CitcuitNumber]],H:H,7)</f>
        <v>10</v>
      </c>
      <c r="M260" s="1">
        <f>SUMIFS(I:I,J:J,BOMCheck[[#This Row],[CitcuitNumber]],G:G,"IEK-25-04")</f>
        <v>0</v>
      </c>
      <c r="N260" s="1" t="str" cm="1">
        <f t="array" ref="N260">_xlfn.TEXTJOIN(", ",TRUE,_xlfn.UNIQUE(IF(BOMCheck[[#This Row],[CitcuitNumber]]=J:J,K:K,"")))</f>
        <v>0, 1, 2, 3, 4, 5, 6, 7, 8, 9</v>
      </c>
    </row>
    <row r="261" spans="1:14" x14ac:dyDescent="0.25">
      <c r="A261">
        <v>451</v>
      </c>
      <c r="B261">
        <v>0</v>
      </c>
      <c r="C261">
        <v>0</v>
      </c>
      <c r="D261" s="1" t="s">
        <v>140</v>
      </c>
      <c r="E261" s="1" t="s">
        <v>142</v>
      </c>
      <c r="F261" t="s">
        <v>15</v>
      </c>
      <c r="G261" s="1" t="s">
        <v>45</v>
      </c>
      <c r="H261">
        <v>10</v>
      </c>
      <c r="I261">
        <v>1</v>
      </c>
      <c r="J261" t="s">
        <v>170</v>
      </c>
      <c r="K261" t="str">
        <f>RIGHT(BOMCheck[[#This Row],[CircuitID]])</f>
        <v>3</v>
      </c>
      <c r="L261" s="1">
        <f>SUMIFS(I:I,J:J,BOMCheck[[#This Row],[CitcuitNumber]],H:H,7)</f>
        <v>10</v>
      </c>
      <c r="M261" s="1">
        <f>SUMIFS(I:I,J:J,BOMCheck[[#This Row],[CitcuitNumber]],G:G,"IEK-25-04")</f>
        <v>0</v>
      </c>
      <c r="N261" s="1" t="str" cm="1">
        <f t="array" ref="N261">_xlfn.TEXTJOIN(", ",TRUE,_xlfn.UNIQUE(IF(BOMCheck[[#This Row],[CitcuitNumber]]=J:J,K:K,"")))</f>
        <v>0, 1, 2, 3, 4, 5, 6, 7, 8, 9</v>
      </c>
    </row>
    <row r="262" spans="1:14" x14ac:dyDescent="0.25">
      <c r="A262">
        <v>451</v>
      </c>
      <c r="B262">
        <v>0</v>
      </c>
      <c r="C262">
        <v>0</v>
      </c>
      <c r="D262" s="1" t="s">
        <v>140</v>
      </c>
      <c r="E262" s="1" t="s">
        <v>142</v>
      </c>
      <c r="F262" t="s">
        <v>15</v>
      </c>
      <c r="G262" s="1" t="s">
        <v>44</v>
      </c>
      <c r="H262">
        <v>11</v>
      </c>
      <c r="I262">
        <v>0.9</v>
      </c>
      <c r="J262" t="s">
        <v>170</v>
      </c>
      <c r="K262" t="str">
        <f>RIGHT(BOMCheck[[#This Row],[CircuitID]])</f>
        <v>3</v>
      </c>
      <c r="L262" s="1">
        <f>SUMIFS(I:I,J:J,BOMCheck[[#This Row],[CitcuitNumber]],H:H,7)</f>
        <v>10</v>
      </c>
      <c r="M262" s="1">
        <f>SUMIFS(I:I,J:J,BOMCheck[[#This Row],[CitcuitNumber]],G:G,"IEK-25-04")</f>
        <v>0</v>
      </c>
      <c r="N262" s="1" t="str" cm="1">
        <f t="array" ref="N262">_xlfn.TEXTJOIN(", ",TRUE,_xlfn.UNIQUE(IF(BOMCheck[[#This Row],[CitcuitNumber]]=J:J,K:K,"")))</f>
        <v>0, 1, 2, 3, 4, 5, 6, 7, 8, 9</v>
      </c>
    </row>
    <row r="263" spans="1:14" x14ac:dyDescent="0.25">
      <c r="A263">
        <v>452</v>
      </c>
      <c r="B263">
        <v>0</v>
      </c>
      <c r="C263">
        <v>0</v>
      </c>
      <c r="D263" s="1" t="s">
        <v>143</v>
      </c>
      <c r="E263" s="1" t="s">
        <v>144</v>
      </c>
      <c r="F263" t="s">
        <v>15</v>
      </c>
      <c r="G263" s="1" t="s">
        <v>43</v>
      </c>
      <c r="H263">
        <v>10</v>
      </c>
      <c r="I263">
        <v>1</v>
      </c>
      <c r="J263" t="s">
        <v>170</v>
      </c>
      <c r="K263" t="str">
        <f>RIGHT(BOMCheck[[#This Row],[CircuitID]])</f>
        <v>4</v>
      </c>
      <c r="L263" s="1">
        <f>SUMIFS(I:I,J:J,BOMCheck[[#This Row],[CitcuitNumber]],H:H,7)</f>
        <v>10</v>
      </c>
      <c r="M263" s="1">
        <f>SUMIFS(I:I,J:J,BOMCheck[[#This Row],[CitcuitNumber]],G:G,"IEK-25-04")</f>
        <v>0</v>
      </c>
      <c r="N263" s="1" t="str" cm="1">
        <f t="array" ref="N263">_xlfn.TEXTJOIN(", ",TRUE,_xlfn.UNIQUE(IF(BOMCheck[[#This Row],[CitcuitNumber]]=J:J,K:K,"")))</f>
        <v>0, 1, 2, 3, 4, 5, 6, 7, 8, 9</v>
      </c>
    </row>
    <row r="264" spans="1:14" x14ac:dyDescent="0.25">
      <c r="A264">
        <v>452</v>
      </c>
      <c r="B264">
        <v>0</v>
      </c>
      <c r="C264">
        <v>0</v>
      </c>
      <c r="D264" s="1" t="s">
        <v>143</v>
      </c>
      <c r="E264" s="1" t="s">
        <v>144</v>
      </c>
      <c r="F264" t="s">
        <v>15</v>
      </c>
      <c r="G264" s="1" t="s">
        <v>161</v>
      </c>
      <c r="H264">
        <v>4</v>
      </c>
      <c r="I264">
        <v>1</v>
      </c>
      <c r="J264" t="s">
        <v>170</v>
      </c>
      <c r="K264" t="str">
        <f>RIGHT(BOMCheck[[#This Row],[CircuitID]])</f>
        <v>4</v>
      </c>
      <c r="L264" s="1">
        <f>SUMIFS(I:I,J:J,BOMCheck[[#This Row],[CitcuitNumber]],H:H,7)</f>
        <v>10</v>
      </c>
      <c r="M264" s="1">
        <f>SUMIFS(I:I,J:J,BOMCheck[[#This Row],[CitcuitNumber]],G:G,"IEK-25-04")</f>
        <v>0</v>
      </c>
      <c r="N264" s="1" t="str" cm="1">
        <f t="array" ref="N264">_xlfn.TEXTJOIN(", ",TRUE,_xlfn.UNIQUE(IF(BOMCheck[[#This Row],[CitcuitNumber]]=J:J,K:K,"")))</f>
        <v>0, 1, 2, 3, 4, 5, 6, 7, 8, 9</v>
      </c>
    </row>
    <row r="265" spans="1:14" x14ac:dyDescent="0.25">
      <c r="A265">
        <v>452</v>
      </c>
      <c r="B265">
        <v>0</v>
      </c>
      <c r="C265">
        <v>0</v>
      </c>
      <c r="D265" s="1" t="s">
        <v>143</v>
      </c>
      <c r="E265" s="1" t="s">
        <v>144</v>
      </c>
      <c r="F265" t="s">
        <v>15</v>
      </c>
      <c r="G265" s="1" t="s">
        <v>162</v>
      </c>
      <c r="H265">
        <v>7</v>
      </c>
      <c r="I265">
        <v>1</v>
      </c>
      <c r="J265" t="s">
        <v>170</v>
      </c>
      <c r="K265" t="str">
        <f>RIGHT(BOMCheck[[#This Row],[CircuitID]])</f>
        <v>4</v>
      </c>
      <c r="L265" s="1">
        <f>SUMIFS(I:I,J:J,BOMCheck[[#This Row],[CitcuitNumber]],H:H,7)</f>
        <v>10</v>
      </c>
      <c r="M265" s="1">
        <f>SUMIFS(I:I,J:J,BOMCheck[[#This Row],[CitcuitNumber]],G:G,"IEK-25-04")</f>
        <v>0</v>
      </c>
      <c r="N265" s="1" t="str" cm="1">
        <f t="array" ref="N265">_xlfn.TEXTJOIN(", ",TRUE,_xlfn.UNIQUE(IF(BOMCheck[[#This Row],[CitcuitNumber]]=J:J,K:K,"")))</f>
        <v>0, 1, 2, 3, 4, 5, 6, 7, 8, 9</v>
      </c>
    </row>
    <row r="266" spans="1:14" x14ac:dyDescent="0.25">
      <c r="A266">
        <v>452</v>
      </c>
      <c r="B266">
        <v>0</v>
      </c>
      <c r="C266">
        <v>0</v>
      </c>
      <c r="D266" s="1" t="s">
        <v>143</v>
      </c>
      <c r="E266" s="1" t="s">
        <v>144</v>
      </c>
      <c r="F266" t="s">
        <v>15</v>
      </c>
      <c r="G266" s="1" t="s">
        <v>167</v>
      </c>
      <c r="H266">
        <v>1</v>
      </c>
      <c r="I266">
        <v>69.88</v>
      </c>
      <c r="J266" t="s">
        <v>170</v>
      </c>
      <c r="K266" t="str">
        <f>RIGHT(BOMCheck[[#This Row],[CircuitID]])</f>
        <v>4</v>
      </c>
      <c r="L266" s="1">
        <f>SUMIFS(I:I,J:J,BOMCheck[[#This Row],[CitcuitNumber]],H:H,7)</f>
        <v>10</v>
      </c>
      <c r="M266" s="1">
        <f>SUMIFS(I:I,J:J,BOMCheck[[#This Row],[CitcuitNumber]],G:G,"IEK-25-04")</f>
        <v>0</v>
      </c>
      <c r="N266" s="1" t="str" cm="1">
        <f t="array" ref="N266">_xlfn.TEXTJOIN(", ",TRUE,_xlfn.UNIQUE(IF(BOMCheck[[#This Row],[CitcuitNumber]]=J:J,K:K,"")))</f>
        <v>0, 1, 2, 3, 4, 5, 6, 7, 8, 9</v>
      </c>
    </row>
    <row r="267" spans="1:14" x14ac:dyDescent="0.25">
      <c r="A267">
        <v>452</v>
      </c>
      <c r="B267">
        <v>0</v>
      </c>
      <c r="C267">
        <v>0</v>
      </c>
      <c r="D267" s="1" t="s">
        <v>143</v>
      </c>
      <c r="E267" s="1" t="s">
        <v>144</v>
      </c>
      <c r="F267" t="s">
        <v>15</v>
      </c>
      <c r="G267" s="1" t="s">
        <v>44</v>
      </c>
      <c r="H267">
        <v>11</v>
      </c>
      <c r="I267">
        <v>1.9</v>
      </c>
      <c r="J267" t="s">
        <v>170</v>
      </c>
      <c r="K267" t="str">
        <f>RIGHT(BOMCheck[[#This Row],[CircuitID]])</f>
        <v>4</v>
      </c>
      <c r="L267" s="1">
        <f>SUMIFS(I:I,J:J,BOMCheck[[#This Row],[CitcuitNumber]],H:H,7)</f>
        <v>10</v>
      </c>
      <c r="M267" s="1">
        <f>SUMIFS(I:I,J:J,BOMCheck[[#This Row],[CitcuitNumber]],G:G,"IEK-25-04")</f>
        <v>0</v>
      </c>
      <c r="N267" s="1" t="str" cm="1">
        <f t="array" ref="N267">_xlfn.TEXTJOIN(", ",TRUE,_xlfn.UNIQUE(IF(BOMCheck[[#This Row],[CitcuitNumber]]=J:J,K:K,"")))</f>
        <v>0, 1, 2, 3, 4, 5, 6, 7, 8, 9</v>
      </c>
    </row>
    <row r="268" spans="1:14" x14ac:dyDescent="0.25">
      <c r="A268">
        <v>452</v>
      </c>
      <c r="B268">
        <v>0</v>
      </c>
      <c r="C268">
        <v>0</v>
      </c>
      <c r="D268" s="1" t="s">
        <v>143</v>
      </c>
      <c r="E268" s="1" t="s">
        <v>144</v>
      </c>
      <c r="F268" t="s">
        <v>15</v>
      </c>
      <c r="G268" s="1" t="s">
        <v>163</v>
      </c>
      <c r="H268">
        <v>13</v>
      </c>
      <c r="I268">
        <v>5</v>
      </c>
      <c r="J268" t="s">
        <v>170</v>
      </c>
      <c r="K268" t="str">
        <f>RIGHT(BOMCheck[[#This Row],[CircuitID]])</f>
        <v>4</v>
      </c>
      <c r="L268" s="1">
        <f>SUMIFS(I:I,J:J,BOMCheck[[#This Row],[CitcuitNumber]],H:H,7)</f>
        <v>10</v>
      </c>
      <c r="M268" s="1">
        <f>SUMIFS(I:I,J:J,BOMCheck[[#This Row],[CitcuitNumber]],G:G,"IEK-25-04")</f>
        <v>0</v>
      </c>
      <c r="N268" s="1" t="str" cm="1">
        <f t="array" ref="N268">_xlfn.TEXTJOIN(", ",TRUE,_xlfn.UNIQUE(IF(BOMCheck[[#This Row],[CitcuitNumber]]=J:J,K:K,"")))</f>
        <v>0, 1, 2, 3, 4, 5, 6, 7, 8, 9</v>
      </c>
    </row>
    <row r="269" spans="1:14" x14ac:dyDescent="0.25">
      <c r="A269">
        <v>453</v>
      </c>
      <c r="B269">
        <v>0</v>
      </c>
      <c r="C269">
        <v>0</v>
      </c>
      <c r="D269" s="1" t="s">
        <v>145</v>
      </c>
      <c r="E269" s="1" t="s">
        <v>146</v>
      </c>
      <c r="F269" t="s">
        <v>15</v>
      </c>
      <c r="G269" s="1" t="s">
        <v>167</v>
      </c>
      <c r="H269">
        <v>1</v>
      </c>
      <c r="I269">
        <v>42.65</v>
      </c>
      <c r="J269" t="s">
        <v>170</v>
      </c>
      <c r="K269" t="str">
        <f>RIGHT(BOMCheck[[#This Row],[CircuitID]])</f>
        <v>5</v>
      </c>
      <c r="L269" s="1">
        <f>SUMIFS(I:I,J:J,BOMCheck[[#This Row],[CitcuitNumber]],H:H,7)</f>
        <v>10</v>
      </c>
      <c r="M269" s="1">
        <f>SUMIFS(I:I,J:J,BOMCheck[[#This Row],[CitcuitNumber]],G:G,"IEK-25-04")</f>
        <v>0</v>
      </c>
      <c r="N269" s="1" t="str" cm="1">
        <f t="array" ref="N269">_xlfn.TEXTJOIN(", ",TRUE,_xlfn.UNIQUE(IF(BOMCheck[[#This Row],[CitcuitNumber]]=J:J,K:K,"")))</f>
        <v>0, 1, 2, 3, 4, 5, 6, 7, 8, 9</v>
      </c>
    </row>
    <row r="270" spans="1:14" x14ac:dyDescent="0.25">
      <c r="A270">
        <v>453</v>
      </c>
      <c r="B270">
        <v>0</v>
      </c>
      <c r="C270">
        <v>0</v>
      </c>
      <c r="D270" s="1" t="s">
        <v>145</v>
      </c>
      <c r="E270" s="1" t="s">
        <v>146</v>
      </c>
      <c r="F270" t="s">
        <v>15</v>
      </c>
      <c r="G270" s="1" t="s">
        <v>161</v>
      </c>
      <c r="H270">
        <v>4</v>
      </c>
      <c r="I270">
        <v>1</v>
      </c>
      <c r="J270" t="s">
        <v>170</v>
      </c>
      <c r="K270" t="str">
        <f>RIGHT(BOMCheck[[#This Row],[CircuitID]])</f>
        <v>5</v>
      </c>
      <c r="L270" s="1">
        <f>SUMIFS(I:I,J:J,BOMCheck[[#This Row],[CitcuitNumber]],H:H,7)</f>
        <v>10</v>
      </c>
      <c r="M270" s="1">
        <f>SUMIFS(I:I,J:J,BOMCheck[[#This Row],[CitcuitNumber]],G:G,"IEK-25-04")</f>
        <v>0</v>
      </c>
      <c r="N270" s="1" t="str" cm="1">
        <f t="array" ref="N270">_xlfn.TEXTJOIN(", ",TRUE,_xlfn.UNIQUE(IF(BOMCheck[[#This Row],[CitcuitNumber]]=J:J,K:K,"")))</f>
        <v>0, 1, 2, 3, 4, 5, 6, 7, 8, 9</v>
      </c>
    </row>
    <row r="271" spans="1:14" x14ac:dyDescent="0.25">
      <c r="A271">
        <v>453</v>
      </c>
      <c r="B271">
        <v>0</v>
      </c>
      <c r="C271">
        <v>0</v>
      </c>
      <c r="D271" s="1" t="s">
        <v>145</v>
      </c>
      <c r="E271" s="1" t="s">
        <v>146</v>
      </c>
      <c r="F271" t="s">
        <v>15</v>
      </c>
      <c r="G271" s="1" t="s">
        <v>162</v>
      </c>
      <c r="H271">
        <v>7</v>
      </c>
      <c r="I271">
        <v>1</v>
      </c>
      <c r="J271" t="s">
        <v>170</v>
      </c>
      <c r="K271" t="str">
        <f>RIGHT(BOMCheck[[#This Row],[CircuitID]])</f>
        <v>5</v>
      </c>
      <c r="L271" s="1">
        <f>SUMIFS(I:I,J:J,BOMCheck[[#This Row],[CitcuitNumber]],H:H,7)</f>
        <v>10</v>
      </c>
      <c r="M271" s="1">
        <f>SUMIFS(I:I,J:J,BOMCheck[[#This Row],[CitcuitNumber]],G:G,"IEK-25-04")</f>
        <v>0</v>
      </c>
      <c r="N271" s="1" t="str" cm="1">
        <f t="array" ref="N271">_xlfn.TEXTJOIN(", ",TRUE,_xlfn.UNIQUE(IF(BOMCheck[[#This Row],[CitcuitNumber]]=J:J,K:K,"")))</f>
        <v>0, 1, 2, 3, 4, 5, 6, 7, 8, 9</v>
      </c>
    </row>
    <row r="272" spans="1:14" x14ac:dyDescent="0.25">
      <c r="A272">
        <v>453</v>
      </c>
      <c r="B272">
        <v>0</v>
      </c>
      <c r="C272">
        <v>0</v>
      </c>
      <c r="D272" s="1" t="s">
        <v>145</v>
      </c>
      <c r="E272" s="1" t="s">
        <v>146</v>
      </c>
      <c r="F272" t="s">
        <v>15</v>
      </c>
      <c r="G272" s="1" t="s">
        <v>44</v>
      </c>
      <c r="H272">
        <v>11</v>
      </c>
      <c r="I272">
        <v>0.7</v>
      </c>
      <c r="J272" t="s">
        <v>170</v>
      </c>
      <c r="K272" t="str">
        <f>RIGHT(BOMCheck[[#This Row],[CircuitID]])</f>
        <v>5</v>
      </c>
      <c r="L272" s="1">
        <f>SUMIFS(I:I,J:J,BOMCheck[[#This Row],[CitcuitNumber]],H:H,7)</f>
        <v>10</v>
      </c>
      <c r="M272" s="1">
        <f>SUMIFS(I:I,J:J,BOMCheck[[#This Row],[CitcuitNumber]],G:G,"IEK-25-04")</f>
        <v>0</v>
      </c>
      <c r="N272" s="1" t="str" cm="1">
        <f t="array" ref="N272">_xlfn.TEXTJOIN(", ",TRUE,_xlfn.UNIQUE(IF(BOMCheck[[#This Row],[CitcuitNumber]]=J:J,K:K,"")))</f>
        <v>0, 1, 2, 3, 4, 5, 6, 7, 8, 9</v>
      </c>
    </row>
    <row r="273" spans="1:14" x14ac:dyDescent="0.25">
      <c r="A273">
        <v>453</v>
      </c>
      <c r="B273">
        <v>0</v>
      </c>
      <c r="C273">
        <v>0</v>
      </c>
      <c r="D273" s="1" t="s">
        <v>145</v>
      </c>
      <c r="E273" s="1" t="s">
        <v>146</v>
      </c>
      <c r="F273" t="s">
        <v>15</v>
      </c>
      <c r="G273" s="1" t="s">
        <v>43</v>
      </c>
      <c r="H273">
        <v>10</v>
      </c>
      <c r="I273">
        <v>1</v>
      </c>
      <c r="J273" t="s">
        <v>170</v>
      </c>
      <c r="K273" t="str">
        <f>RIGHT(BOMCheck[[#This Row],[CircuitID]])</f>
        <v>5</v>
      </c>
      <c r="L273" s="1">
        <f>SUMIFS(I:I,J:J,BOMCheck[[#This Row],[CitcuitNumber]],H:H,7)</f>
        <v>10</v>
      </c>
      <c r="M273" s="1">
        <f>SUMIFS(I:I,J:J,BOMCheck[[#This Row],[CitcuitNumber]],G:G,"IEK-25-04")</f>
        <v>0</v>
      </c>
      <c r="N273" s="1" t="str" cm="1">
        <f t="array" ref="N273">_xlfn.TEXTJOIN(", ",TRUE,_xlfn.UNIQUE(IF(BOMCheck[[#This Row],[CitcuitNumber]]=J:J,K:K,"")))</f>
        <v>0, 1, 2, 3, 4, 5, 6, 7, 8, 9</v>
      </c>
    </row>
    <row r="274" spans="1:14" x14ac:dyDescent="0.25">
      <c r="A274">
        <v>453</v>
      </c>
      <c r="B274">
        <v>0</v>
      </c>
      <c r="C274">
        <v>0</v>
      </c>
      <c r="D274" s="1" t="s">
        <v>145</v>
      </c>
      <c r="E274" s="1" t="s">
        <v>146</v>
      </c>
      <c r="F274" t="s">
        <v>15</v>
      </c>
      <c r="G274" s="1" t="s">
        <v>163</v>
      </c>
      <c r="H274">
        <v>13</v>
      </c>
      <c r="I274">
        <v>2</v>
      </c>
      <c r="J274" t="s">
        <v>170</v>
      </c>
      <c r="K274" t="str">
        <f>RIGHT(BOMCheck[[#This Row],[CircuitID]])</f>
        <v>5</v>
      </c>
      <c r="L274" s="1">
        <f>SUMIFS(I:I,J:J,BOMCheck[[#This Row],[CitcuitNumber]],H:H,7)</f>
        <v>10</v>
      </c>
      <c r="M274" s="1">
        <f>SUMIFS(I:I,J:J,BOMCheck[[#This Row],[CitcuitNumber]],G:G,"IEK-25-04")</f>
        <v>0</v>
      </c>
      <c r="N274" s="1" t="str" cm="1">
        <f t="array" ref="N274">_xlfn.TEXTJOIN(", ",TRUE,_xlfn.UNIQUE(IF(BOMCheck[[#This Row],[CitcuitNumber]]=J:J,K:K,"")))</f>
        <v>0, 1, 2, 3, 4, 5, 6, 7, 8, 9</v>
      </c>
    </row>
    <row r="275" spans="1:14" x14ac:dyDescent="0.25">
      <c r="A275">
        <v>454</v>
      </c>
      <c r="B275">
        <v>0</v>
      </c>
      <c r="C275">
        <v>0</v>
      </c>
      <c r="D275" s="1" t="s">
        <v>145</v>
      </c>
      <c r="E275" s="1" t="s">
        <v>147</v>
      </c>
      <c r="F275" t="s">
        <v>15</v>
      </c>
      <c r="G275" s="1" t="s">
        <v>167</v>
      </c>
      <c r="H275">
        <v>1</v>
      </c>
      <c r="I275">
        <v>89.24</v>
      </c>
      <c r="J275" t="s">
        <v>170</v>
      </c>
      <c r="K275" t="str">
        <f>RIGHT(BOMCheck[[#This Row],[CircuitID]])</f>
        <v>6</v>
      </c>
      <c r="L275" s="1">
        <f>SUMIFS(I:I,J:J,BOMCheck[[#This Row],[CitcuitNumber]],H:H,7)</f>
        <v>10</v>
      </c>
      <c r="M275" s="1">
        <f>SUMIFS(I:I,J:J,BOMCheck[[#This Row],[CitcuitNumber]],G:G,"IEK-25-04")</f>
        <v>0</v>
      </c>
      <c r="N275" s="1" t="str" cm="1">
        <f t="array" ref="N275">_xlfn.TEXTJOIN(", ",TRUE,_xlfn.UNIQUE(IF(BOMCheck[[#This Row],[CitcuitNumber]]=J:J,K:K,"")))</f>
        <v>0, 1, 2, 3, 4, 5, 6, 7, 8, 9</v>
      </c>
    </row>
    <row r="276" spans="1:14" x14ac:dyDescent="0.25">
      <c r="A276">
        <v>454</v>
      </c>
      <c r="B276">
        <v>0</v>
      </c>
      <c r="C276">
        <v>0</v>
      </c>
      <c r="D276" s="1" t="s">
        <v>145</v>
      </c>
      <c r="E276" s="1" t="s">
        <v>147</v>
      </c>
      <c r="F276" t="s">
        <v>15</v>
      </c>
      <c r="G276" s="1" t="s">
        <v>163</v>
      </c>
      <c r="H276">
        <v>13</v>
      </c>
      <c r="I276">
        <v>7</v>
      </c>
      <c r="J276" t="s">
        <v>170</v>
      </c>
      <c r="K276" t="str">
        <f>RIGHT(BOMCheck[[#This Row],[CircuitID]])</f>
        <v>6</v>
      </c>
      <c r="L276" s="1">
        <f>SUMIFS(I:I,J:J,BOMCheck[[#This Row],[CitcuitNumber]],H:H,7)</f>
        <v>10</v>
      </c>
      <c r="M276" s="1">
        <f>SUMIFS(I:I,J:J,BOMCheck[[#This Row],[CitcuitNumber]],G:G,"IEK-25-04")</f>
        <v>0</v>
      </c>
      <c r="N276" s="1" t="str" cm="1">
        <f t="array" ref="N276">_xlfn.TEXTJOIN(", ",TRUE,_xlfn.UNIQUE(IF(BOMCheck[[#This Row],[CitcuitNumber]]=J:J,K:K,"")))</f>
        <v>0, 1, 2, 3, 4, 5, 6, 7, 8, 9</v>
      </c>
    </row>
    <row r="277" spans="1:14" x14ac:dyDescent="0.25">
      <c r="A277">
        <v>454</v>
      </c>
      <c r="B277">
        <v>0</v>
      </c>
      <c r="C277">
        <v>0</v>
      </c>
      <c r="D277" s="1" t="s">
        <v>145</v>
      </c>
      <c r="E277" s="1" t="s">
        <v>147</v>
      </c>
      <c r="F277" t="s">
        <v>15</v>
      </c>
      <c r="G277" s="1" t="s">
        <v>44</v>
      </c>
      <c r="H277">
        <v>11</v>
      </c>
      <c r="I277">
        <v>0.9</v>
      </c>
      <c r="J277" t="s">
        <v>170</v>
      </c>
      <c r="K277" t="str">
        <f>RIGHT(BOMCheck[[#This Row],[CircuitID]])</f>
        <v>6</v>
      </c>
      <c r="L277" s="1">
        <f>SUMIFS(I:I,J:J,BOMCheck[[#This Row],[CitcuitNumber]],H:H,7)</f>
        <v>10</v>
      </c>
      <c r="M277" s="1">
        <f>SUMIFS(I:I,J:J,BOMCheck[[#This Row],[CitcuitNumber]],G:G,"IEK-25-04")</f>
        <v>0</v>
      </c>
      <c r="N277" s="1" t="str" cm="1">
        <f t="array" ref="N277">_xlfn.TEXTJOIN(", ",TRUE,_xlfn.UNIQUE(IF(BOMCheck[[#This Row],[CitcuitNumber]]=J:J,K:K,"")))</f>
        <v>0, 1, 2, 3, 4, 5, 6, 7, 8, 9</v>
      </c>
    </row>
    <row r="278" spans="1:14" x14ac:dyDescent="0.25">
      <c r="A278">
        <v>454</v>
      </c>
      <c r="B278">
        <v>0</v>
      </c>
      <c r="C278">
        <v>0</v>
      </c>
      <c r="D278" s="1" t="s">
        <v>145</v>
      </c>
      <c r="E278" s="1" t="s">
        <v>147</v>
      </c>
      <c r="F278" t="s">
        <v>15</v>
      </c>
      <c r="G278" s="1" t="s">
        <v>45</v>
      </c>
      <c r="H278">
        <v>10</v>
      </c>
      <c r="I278">
        <v>1</v>
      </c>
      <c r="J278" t="s">
        <v>170</v>
      </c>
      <c r="K278" t="str">
        <f>RIGHT(BOMCheck[[#This Row],[CircuitID]])</f>
        <v>6</v>
      </c>
      <c r="L278" s="1">
        <f>SUMIFS(I:I,J:J,BOMCheck[[#This Row],[CitcuitNumber]],H:H,7)</f>
        <v>10</v>
      </c>
      <c r="M278" s="1">
        <f>SUMIFS(I:I,J:J,BOMCheck[[#This Row],[CitcuitNumber]],G:G,"IEK-25-04")</f>
        <v>0</v>
      </c>
      <c r="N278" s="1" t="str" cm="1">
        <f t="array" ref="N278">_xlfn.TEXTJOIN(", ",TRUE,_xlfn.UNIQUE(IF(BOMCheck[[#This Row],[CitcuitNumber]]=J:J,K:K,"")))</f>
        <v>0, 1, 2, 3, 4, 5, 6, 7, 8, 9</v>
      </c>
    </row>
    <row r="279" spans="1:14" x14ac:dyDescent="0.25">
      <c r="A279">
        <v>454</v>
      </c>
      <c r="B279">
        <v>0</v>
      </c>
      <c r="C279">
        <v>0</v>
      </c>
      <c r="D279" s="1" t="s">
        <v>145</v>
      </c>
      <c r="E279" s="1" t="s">
        <v>147</v>
      </c>
      <c r="F279" t="s">
        <v>15</v>
      </c>
      <c r="G279" s="1" t="s">
        <v>162</v>
      </c>
      <c r="H279">
        <v>7</v>
      </c>
      <c r="I279">
        <v>1</v>
      </c>
      <c r="J279" t="s">
        <v>170</v>
      </c>
      <c r="K279" t="str">
        <f>RIGHT(BOMCheck[[#This Row],[CircuitID]])</f>
        <v>6</v>
      </c>
      <c r="L279" s="1">
        <f>SUMIFS(I:I,J:J,BOMCheck[[#This Row],[CitcuitNumber]],H:H,7)</f>
        <v>10</v>
      </c>
      <c r="M279" s="1">
        <f>SUMIFS(I:I,J:J,BOMCheck[[#This Row],[CitcuitNumber]],G:G,"IEK-25-04")</f>
        <v>0</v>
      </c>
      <c r="N279" s="1" t="str" cm="1">
        <f t="array" ref="N279">_xlfn.TEXTJOIN(", ",TRUE,_xlfn.UNIQUE(IF(BOMCheck[[#This Row],[CitcuitNumber]]=J:J,K:K,"")))</f>
        <v>0, 1, 2, 3, 4, 5, 6, 7, 8, 9</v>
      </c>
    </row>
    <row r="280" spans="1:14" x14ac:dyDescent="0.25">
      <c r="A280">
        <v>454</v>
      </c>
      <c r="B280">
        <v>0</v>
      </c>
      <c r="C280">
        <v>0</v>
      </c>
      <c r="D280" s="1" t="s">
        <v>145</v>
      </c>
      <c r="E280" s="1" t="s">
        <v>147</v>
      </c>
      <c r="F280" t="s">
        <v>15</v>
      </c>
      <c r="G280" s="1" t="s">
        <v>161</v>
      </c>
      <c r="H280">
        <v>4</v>
      </c>
      <c r="I280">
        <v>1</v>
      </c>
      <c r="J280" t="s">
        <v>170</v>
      </c>
      <c r="K280" t="str">
        <f>RIGHT(BOMCheck[[#This Row],[CircuitID]])</f>
        <v>6</v>
      </c>
      <c r="L280" s="1">
        <f>SUMIFS(I:I,J:J,BOMCheck[[#This Row],[CitcuitNumber]],H:H,7)</f>
        <v>10</v>
      </c>
      <c r="M280" s="1">
        <f>SUMIFS(I:I,J:J,BOMCheck[[#This Row],[CitcuitNumber]],G:G,"IEK-25-04")</f>
        <v>0</v>
      </c>
      <c r="N280" s="1" t="str" cm="1">
        <f t="array" ref="N280">_xlfn.TEXTJOIN(", ",TRUE,_xlfn.UNIQUE(IF(BOMCheck[[#This Row],[CitcuitNumber]]=J:J,K:K,"")))</f>
        <v>0, 1, 2, 3, 4, 5, 6, 7, 8, 9</v>
      </c>
    </row>
    <row r="281" spans="1:14" x14ac:dyDescent="0.25">
      <c r="A281">
        <v>454</v>
      </c>
      <c r="B281">
        <v>0</v>
      </c>
      <c r="C281">
        <v>0</v>
      </c>
      <c r="D281" s="1" t="s">
        <v>145</v>
      </c>
      <c r="E281" s="1" t="s">
        <v>147</v>
      </c>
      <c r="F281" t="s">
        <v>15</v>
      </c>
      <c r="G281" s="1" t="s">
        <v>168</v>
      </c>
      <c r="H281">
        <v>4</v>
      </c>
      <c r="I281">
        <v>1</v>
      </c>
      <c r="J281" t="s">
        <v>170</v>
      </c>
      <c r="K281" t="str">
        <f>RIGHT(BOMCheck[[#This Row],[CircuitID]])</f>
        <v>6</v>
      </c>
      <c r="L281" s="1">
        <f>SUMIFS(I:I,J:J,BOMCheck[[#This Row],[CitcuitNumber]],H:H,7)</f>
        <v>10</v>
      </c>
      <c r="M281" s="1">
        <f>SUMIFS(I:I,J:J,BOMCheck[[#This Row],[CitcuitNumber]],G:G,"IEK-25-04")</f>
        <v>0</v>
      </c>
      <c r="N281" s="1" t="str" cm="1">
        <f t="array" ref="N281">_xlfn.TEXTJOIN(", ",TRUE,_xlfn.UNIQUE(IF(BOMCheck[[#This Row],[CitcuitNumber]]=J:J,K:K,"")))</f>
        <v>0, 1, 2, 3, 4, 5, 6, 7, 8, 9</v>
      </c>
    </row>
    <row r="282" spans="1:14" x14ac:dyDescent="0.25">
      <c r="A282">
        <v>455</v>
      </c>
      <c r="B282">
        <v>0</v>
      </c>
      <c r="C282">
        <v>0</v>
      </c>
      <c r="D282" s="1" t="s">
        <v>148</v>
      </c>
      <c r="E282" s="1" t="s">
        <v>149</v>
      </c>
      <c r="F282" t="s">
        <v>15</v>
      </c>
      <c r="G282" s="1" t="s">
        <v>162</v>
      </c>
      <c r="H282">
        <v>7</v>
      </c>
      <c r="I282">
        <v>1</v>
      </c>
      <c r="J282" t="s">
        <v>170</v>
      </c>
      <c r="K282" t="str">
        <f>RIGHT(BOMCheck[[#This Row],[CircuitID]])</f>
        <v>7</v>
      </c>
      <c r="L282" s="1">
        <f>SUMIFS(I:I,J:J,BOMCheck[[#This Row],[CitcuitNumber]],H:H,7)</f>
        <v>10</v>
      </c>
      <c r="M282" s="1">
        <f>SUMIFS(I:I,J:J,BOMCheck[[#This Row],[CitcuitNumber]],G:G,"IEK-25-04")</f>
        <v>0</v>
      </c>
      <c r="N282" s="1" t="str" cm="1">
        <f t="array" ref="N282">_xlfn.TEXTJOIN(", ",TRUE,_xlfn.UNIQUE(IF(BOMCheck[[#This Row],[CitcuitNumber]]=J:J,K:K,"")))</f>
        <v>0, 1, 2, 3, 4, 5, 6, 7, 8, 9</v>
      </c>
    </row>
    <row r="283" spans="1:14" x14ac:dyDescent="0.25">
      <c r="A283">
        <v>455</v>
      </c>
      <c r="B283">
        <v>0</v>
      </c>
      <c r="C283">
        <v>0</v>
      </c>
      <c r="D283" s="1" t="s">
        <v>148</v>
      </c>
      <c r="E283" s="1" t="s">
        <v>149</v>
      </c>
      <c r="F283" t="s">
        <v>15</v>
      </c>
      <c r="G283" s="1" t="s">
        <v>167</v>
      </c>
      <c r="H283">
        <v>1</v>
      </c>
      <c r="I283">
        <v>184.06</v>
      </c>
      <c r="J283" t="s">
        <v>170</v>
      </c>
      <c r="K283" t="str">
        <f>RIGHT(BOMCheck[[#This Row],[CircuitID]])</f>
        <v>7</v>
      </c>
      <c r="L283" s="1">
        <f>SUMIFS(I:I,J:J,BOMCheck[[#This Row],[CitcuitNumber]],H:H,7)</f>
        <v>10</v>
      </c>
      <c r="M283" s="1">
        <f>SUMIFS(I:I,J:J,BOMCheck[[#This Row],[CitcuitNumber]],G:G,"IEK-25-04")</f>
        <v>0</v>
      </c>
      <c r="N283" s="1" t="str" cm="1">
        <f t="array" ref="N283">_xlfn.TEXTJOIN(", ",TRUE,_xlfn.UNIQUE(IF(BOMCheck[[#This Row],[CitcuitNumber]]=J:J,K:K,"")))</f>
        <v>0, 1, 2, 3, 4, 5, 6, 7, 8, 9</v>
      </c>
    </row>
    <row r="284" spans="1:14" x14ac:dyDescent="0.25">
      <c r="A284">
        <v>455</v>
      </c>
      <c r="B284">
        <v>0</v>
      </c>
      <c r="C284">
        <v>0</v>
      </c>
      <c r="D284" s="1" t="s">
        <v>148</v>
      </c>
      <c r="E284" s="1" t="s">
        <v>149</v>
      </c>
      <c r="F284" t="s">
        <v>15</v>
      </c>
      <c r="G284" s="1" t="s">
        <v>161</v>
      </c>
      <c r="H284">
        <v>4</v>
      </c>
      <c r="I284">
        <v>1</v>
      </c>
      <c r="J284" t="s">
        <v>170</v>
      </c>
      <c r="K284" t="str">
        <f>RIGHT(BOMCheck[[#This Row],[CircuitID]])</f>
        <v>7</v>
      </c>
      <c r="L284" s="1">
        <f>SUMIFS(I:I,J:J,BOMCheck[[#This Row],[CitcuitNumber]],H:H,7)</f>
        <v>10</v>
      </c>
      <c r="M284" s="1">
        <f>SUMIFS(I:I,J:J,BOMCheck[[#This Row],[CitcuitNumber]],G:G,"IEK-25-04")</f>
        <v>0</v>
      </c>
      <c r="N284" s="1" t="str" cm="1">
        <f t="array" ref="N284">_xlfn.TEXTJOIN(", ",TRUE,_xlfn.UNIQUE(IF(BOMCheck[[#This Row],[CitcuitNumber]]=J:J,K:K,"")))</f>
        <v>0, 1, 2, 3, 4, 5, 6, 7, 8, 9</v>
      </c>
    </row>
    <row r="285" spans="1:14" x14ac:dyDescent="0.25">
      <c r="A285">
        <v>455</v>
      </c>
      <c r="B285">
        <v>0</v>
      </c>
      <c r="C285">
        <v>0</v>
      </c>
      <c r="D285" s="1" t="s">
        <v>148</v>
      </c>
      <c r="E285" s="1" t="s">
        <v>149</v>
      </c>
      <c r="F285" t="s">
        <v>15</v>
      </c>
      <c r="G285" s="1" t="s">
        <v>44</v>
      </c>
      <c r="H285">
        <v>11</v>
      </c>
      <c r="I285">
        <v>6.7</v>
      </c>
      <c r="J285" t="s">
        <v>170</v>
      </c>
      <c r="K285" t="str">
        <f>RIGHT(BOMCheck[[#This Row],[CircuitID]])</f>
        <v>7</v>
      </c>
      <c r="L285" s="1">
        <f>SUMIFS(I:I,J:J,BOMCheck[[#This Row],[CitcuitNumber]],H:H,7)</f>
        <v>10</v>
      </c>
      <c r="M285" s="1">
        <f>SUMIFS(I:I,J:J,BOMCheck[[#This Row],[CitcuitNumber]],G:G,"IEK-25-04")</f>
        <v>0</v>
      </c>
      <c r="N285" s="1" t="str" cm="1">
        <f t="array" ref="N285">_xlfn.TEXTJOIN(", ",TRUE,_xlfn.UNIQUE(IF(BOMCheck[[#This Row],[CitcuitNumber]]=J:J,K:K,"")))</f>
        <v>0, 1, 2, 3, 4, 5, 6, 7, 8, 9</v>
      </c>
    </row>
    <row r="286" spans="1:14" x14ac:dyDescent="0.25">
      <c r="A286">
        <v>455</v>
      </c>
      <c r="B286">
        <v>0</v>
      </c>
      <c r="C286">
        <v>0</v>
      </c>
      <c r="D286" s="1" t="s">
        <v>148</v>
      </c>
      <c r="E286" s="1" t="s">
        <v>149</v>
      </c>
      <c r="F286" t="s">
        <v>15</v>
      </c>
      <c r="G286" s="1" t="s">
        <v>163</v>
      </c>
      <c r="H286">
        <v>13</v>
      </c>
      <c r="I286">
        <v>16</v>
      </c>
      <c r="J286" t="s">
        <v>170</v>
      </c>
      <c r="K286" t="str">
        <f>RIGHT(BOMCheck[[#This Row],[CircuitID]])</f>
        <v>7</v>
      </c>
      <c r="L286" s="1">
        <f>SUMIFS(I:I,J:J,BOMCheck[[#This Row],[CitcuitNumber]],H:H,7)</f>
        <v>10</v>
      </c>
      <c r="M286" s="1">
        <f>SUMIFS(I:I,J:J,BOMCheck[[#This Row],[CitcuitNumber]],G:G,"IEK-25-04")</f>
        <v>0</v>
      </c>
      <c r="N286" s="1" t="str" cm="1">
        <f t="array" ref="N286">_xlfn.TEXTJOIN(", ",TRUE,_xlfn.UNIQUE(IF(BOMCheck[[#This Row],[CitcuitNumber]]=J:J,K:K,"")))</f>
        <v>0, 1, 2, 3, 4, 5, 6, 7, 8, 9</v>
      </c>
    </row>
    <row r="287" spans="1:14" x14ac:dyDescent="0.25">
      <c r="A287">
        <v>455</v>
      </c>
      <c r="B287">
        <v>0</v>
      </c>
      <c r="C287">
        <v>0</v>
      </c>
      <c r="D287" s="1" t="s">
        <v>148</v>
      </c>
      <c r="E287" s="1" t="s">
        <v>149</v>
      </c>
      <c r="F287" t="s">
        <v>15</v>
      </c>
      <c r="G287" s="1" t="s">
        <v>43</v>
      </c>
      <c r="H287">
        <v>10</v>
      </c>
      <c r="I287">
        <v>1</v>
      </c>
      <c r="J287" t="s">
        <v>170</v>
      </c>
      <c r="K287" t="str">
        <f>RIGHT(BOMCheck[[#This Row],[CircuitID]])</f>
        <v>7</v>
      </c>
      <c r="L287" s="1">
        <f>SUMIFS(I:I,J:J,BOMCheck[[#This Row],[CitcuitNumber]],H:H,7)</f>
        <v>10</v>
      </c>
      <c r="M287" s="1">
        <f>SUMIFS(I:I,J:J,BOMCheck[[#This Row],[CitcuitNumber]],G:G,"IEK-25-04")</f>
        <v>0</v>
      </c>
      <c r="N287" s="1" t="str" cm="1">
        <f t="array" ref="N287">_xlfn.TEXTJOIN(", ",TRUE,_xlfn.UNIQUE(IF(BOMCheck[[#This Row],[CitcuitNumber]]=J:J,K:K,"")))</f>
        <v>0, 1, 2, 3, 4, 5, 6, 7, 8, 9</v>
      </c>
    </row>
    <row r="288" spans="1:14" x14ac:dyDescent="0.25">
      <c r="A288">
        <v>456</v>
      </c>
      <c r="B288">
        <v>0</v>
      </c>
      <c r="C288">
        <v>0</v>
      </c>
      <c r="D288" s="1" t="s">
        <v>150</v>
      </c>
      <c r="E288" s="1" t="s">
        <v>151</v>
      </c>
      <c r="F288" t="s">
        <v>15</v>
      </c>
      <c r="G288" s="1" t="s">
        <v>162</v>
      </c>
      <c r="H288">
        <v>7</v>
      </c>
      <c r="I288">
        <v>1</v>
      </c>
      <c r="J288" t="s">
        <v>170</v>
      </c>
      <c r="K288" t="str">
        <f>RIGHT(BOMCheck[[#This Row],[CircuitID]])</f>
        <v>8</v>
      </c>
      <c r="L288" s="1">
        <f>SUMIFS(I:I,J:J,BOMCheck[[#This Row],[CitcuitNumber]],H:H,7)</f>
        <v>10</v>
      </c>
      <c r="M288" s="1">
        <f>SUMIFS(I:I,J:J,BOMCheck[[#This Row],[CitcuitNumber]],G:G,"IEK-25-04")</f>
        <v>0</v>
      </c>
      <c r="N288" s="1" t="str" cm="1">
        <f t="array" ref="N288">_xlfn.TEXTJOIN(", ",TRUE,_xlfn.UNIQUE(IF(BOMCheck[[#This Row],[CitcuitNumber]]=J:J,K:K,"")))</f>
        <v>0, 1, 2, 3, 4, 5, 6, 7, 8, 9</v>
      </c>
    </row>
    <row r="289" spans="1:14" x14ac:dyDescent="0.25">
      <c r="A289">
        <v>456</v>
      </c>
      <c r="B289">
        <v>0</v>
      </c>
      <c r="C289">
        <v>0</v>
      </c>
      <c r="D289" s="1" t="s">
        <v>150</v>
      </c>
      <c r="E289" s="1" t="s">
        <v>151</v>
      </c>
      <c r="F289" t="s">
        <v>15</v>
      </c>
      <c r="G289" s="1" t="s">
        <v>167</v>
      </c>
      <c r="H289">
        <v>1</v>
      </c>
      <c r="I289">
        <v>42.65</v>
      </c>
      <c r="J289" t="s">
        <v>170</v>
      </c>
      <c r="K289" t="str">
        <f>RIGHT(BOMCheck[[#This Row],[CircuitID]])</f>
        <v>8</v>
      </c>
      <c r="L289" s="1">
        <f>SUMIFS(I:I,J:J,BOMCheck[[#This Row],[CitcuitNumber]],H:H,7)</f>
        <v>10</v>
      </c>
      <c r="M289" s="1">
        <f>SUMIFS(I:I,J:J,BOMCheck[[#This Row],[CitcuitNumber]],G:G,"IEK-25-04")</f>
        <v>0</v>
      </c>
      <c r="N289" s="1" t="str" cm="1">
        <f t="array" ref="N289">_xlfn.TEXTJOIN(", ",TRUE,_xlfn.UNIQUE(IF(BOMCheck[[#This Row],[CitcuitNumber]]=J:J,K:K,"")))</f>
        <v>0, 1, 2, 3, 4, 5, 6, 7, 8, 9</v>
      </c>
    </row>
    <row r="290" spans="1:14" x14ac:dyDescent="0.25">
      <c r="A290">
        <v>456</v>
      </c>
      <c r="B290">
        <v>0</v>
      </c>
      <c r="C290">
        <v>0</v>
      </c>
      <c r="D290" s="1" t="s">
        <v>150</v>
      </c>
      <c r="E290" s="1" t="s">
        <v>151</v>
      </c>
      <c r="F290" t="s">
        <v>15</v>
      </c>
      <c r="G290" s="1" t="s">
        <v>161</v>
      </c>
      <c r="H290">
        <v>4</v>
      </c>
      <c r="I290">
        <v>1</v>
      </c>
      <c r="J290" t="s">
        <v>170</v>
      </c>
      <c r="K290" t="str">
        <f>RIGHT(BOMCheck[[#This Row],[CircuitID]])</f>
        <v>8</v>
      </c>
      <c r="L290" s="1">
        <f>SUMIFS(I:I,J:J,BOMCheck[[#This Row],[CitcuitNumber]],H:H,7)</f>
        <v>10</v>
      </c>
      <c r="M290" s="1">
        <f>SUMIFS(I:I,J:J,BOMCheck[[#This Row],[CitcuitNumber]],G:G,"IEK-25-04")</f>
        <v>0</v>
      </c>
      <c r="N290" s="1" t="str" cm="1">
        <f t="array" ref="N290">_xlfn.TEXTJOIN(", ",TRUE,_xlfn.UNIQUE(IF(BOMCheck[[#This Row],[CitcuitNumber]]=J:J,K:K,"")))</f>
        <v>0, 1, 2, 3, 4, 5, 6, 7, 8, 9</v>
      </c>
    </row>
    <row r="291" spans="1:14" x14ac:dyDescent="0.25">
      <c r="A291">
        <v>456</v>
      </c>
      <c r="B291">
        <v>0</v>
      </c>
      <c r="C291">
        <v>0</v>
      </c>
      <c r="D291" s="1" t="s">
        <v>150</v>
      </c>
      <c r="E291" s="1" t="s">
        <v>151</v>
      </c>
      <c r="F291" t="s">
        <v>15</v>
      </c>
      <c r="G291" s="1" t="s">
        <v>44</v>
      </c>
      <c r="H291">
        <v>11</v>
      </c>
      <c r="I291">
        <v>0.7</v>
      </c>
      <c r="J291" t="s">
        <v>170</v>
      </c>
      <c r="K291" t="str">
        <f>RIGHT(BOMCheck[[#This Row],[CircuitID]])</f>
        <v>8</v>
      </c>
      <c r="L291" s="1">
        <f>SUMIFS(I:I,J:J,BOMCheck[[#This Row],[CitcuitNumber]],H:H,7)</f>
        <v>10</v>
      </c>
      <c r="M291" s="1">
        <f>SUMIFS(I:I,J:J,BOMCheck[[#This Row],[CitcuitNumber]],G:G,"IEK-25-04")</f>
        <v>0</v>
      </c>
      <c r="N291" s="1" t="str" cm="1">
        <f t="array" ref="N291">_xlfn.TEXTJOIN(", ",TRUE,_xlfn.UNIQUE(IF(BOMCheck[[#This Row],[CitcuitNumber]]=J:J,K:K,"")))</f>
        <v>0, 1, 2, 3, 4, 5, 6, 7, 8, 9</v>
      </c>
    </row>
    <row r="292" spans="1:14" x14ac:dyDescent="0.25">
      <c r="A292">
        <v>456</v>
      </c>
      <c r="B292">
        <v>0</v>
      </c>
      <c r="C292">
        <v>0</v>
      </c>
      <c r="D292" s="1" t="s">
        <v>150</v>
      </c>
      <c r="E292" s="1" t="s">
        <v>151</v>
      </c>
      <c r="F292" t="s">
        <v>15</v>
      </c>
      <c r="G292" s="1" t="s">
        <v>163</v>
      </c>
      <c r="H292">
        <v>13</v>
      </c>
      <c r="I292">
        <v>2</v>
      </c>
      <c r="J292" t="s">
        <v>170</v>
      </c>
      <c r="K292" t="str">
        <f>RIGHT(BOMCheck[[#This Row],[CircuitID]])</f>
        <v>8</v>
      </c>
      <c r="L292" s="1">
        <f>SUMIFS(I:I,J:J,BOMCheck[[#This Row],[CitcuitNumber]],H:H,7)</f>
        <v>10</v>
      </c>
      <c r="M292" s="1">
        <f>SUMIFS(I:I,J:J,BOMCheck[[#This Row],[CitcuitNumber]],G:G,"IEK-25-04")</f>
        <v>0</v>
      </c>
      <c r="N292" s="1" t="str" cm="1">
        <f t="array" ref="N292">_xlfn.TEXTJOIN(", ",TRUE,_xlfn.UNIQUE(IF(BOMCheck[[#This Row],[CitcuitNumber]]=J:J,K:K,"")))</f>
        <v>0, 1, 2, 3, 4, 5, 6, 7, 8, 9</v>
      </c>
    </row>
    <row r="293" spans="1:14" x14ac:dyDescent="0.25">
      <c r="A293">
        <v>456</v>
      </c>
      <c r="B293">
        <v>0</v>
      </c>
      <c r="C293">
        <v>0</v>
      </c>
      <c r="D293" s="1" t="s">
        <v>150</v>
      </c>
      <c r="E293" s="1" t="s">
        <v>151</v>
      </c>
      <c r="F293" t="s">
        <v>15</v>
      </c>
      <c r="G293" s="1" t="s">
        <v>43</v>
      </c>
      <c r="H293">
        <v>10</v>
      </c>
      <c r="I293">
        <v>1</v>
      </c>
      <c r="J293" t="s">
        <v>170</v>
      </c>
      <c r="K293" t="str">
        <f>RIGHT(BOMCheck[[#This Row],[CircuitID]])</f>
        <v>8</v>
      </c>
      <c r="L293" s="1">
        <f>SUMIFS(I:I,J:J,BOMCheck[[#This Row],[CitcuitNumber]],H:H,7)</f>
        <v>10</v>
      </c>
      <c r="M293" s="1">
        <f>SUMIFS(I:I,J:J,BOMCheck[[#This Row],[CitcuitNumber]],G:G,"IEK-25-04")</f>
        <v>0</v>
      </c>
      <c r="N293" s="1" t="str" cm="1">
        <f t="array" ref="N293">_xlfn.TEXTJOIN(", ",TRUE,_xlfn.UNIQUE(IF(BOMCheck[[#This Row],[CitcuitNumber]]=J:J,K:K,"")))</f>
        <v>0, 1, 2, 3, 4, 5, 6, 7, 8, 9</v>
      </c>
    </row>
    <row r="294" spans="1:14" x14ac:dyDescent="0.25">
      <c r="A294">
        <v>457</v>
      </c>
      <c r="B294">
        <v>0</v>
      </c>
      <c r="C294">
        <v>0</v>
      </c>
      <c r="D294" s="1" t="s">
        <v>150</v>
      </c>
      <c r="E294" s="1" t="s">
        <v>152</v>
      </c>
      <c r="F294" t="s">
        <v>15</v>
      </c>
      <c r="G294" s="1" t="s">
        <v>168</v>
      </c>
      <c r="H294">
        <v>4</v>
      </c>
      <c r="I294">
        <v>1</v>
      </c>
      <c r="J294" t="s">
        <v>170</v>
      </c>
      <c r="K294" t="str">
        <f>RIGHT(BOMCheck[[#This Row],[CircuitID]])</f>
        <v>9</v>
      </c>
      <c r="L294" s="1">
        <f>SUMIFS(I:I,J:J,BOMCheck[[#This Row],[CitcuitNumber]],H:H,7)</f>
        <v>10</v>
      </c>
      <c r="M294" s="1">
        <f>SUMIFS(I:I,J:J,BOMCheck[[#This Row],[CitcuitNumber]],G:G,"IEK-25-04")</f>
        <v>0</v>
      </c>
      <c r="N294" s="1" t="str" cm="1">
        <f t="array" ref="N294">_xlfn.TEXTJOIN(", ",TRUE,_xlfn.UNIQUE(IF(BOMCheck[[#This Row],[CitcuitNumber]]=J:J,K:K,"")))</f>
        <v>0, 1, 2, 3, 4, 5, 6, 7, 8, 9</v>
      </c>
    </row>
    <row r="295" spans="1:14" x14ac:dyDescent="0.25">
      <c r="A295">
        <v>457</v>
      </c>
      <c r="B295">
        <v>0</v>
      </c>
      <c r="C295">
        <v>0</v>
      </c>
      <c r="D295" s="1" t="s">
        <v>150</v>
      </c>
      <c r="E295" s="1" t="s">
        <v>152</v>
      </c>
      <c r="F295" t="s">
        <v>15</v>
      </c>
      <c r="G295" s="1" t="s">
        <v>44</v>
      </c>
      <c r="H295">
        <v>11</v>
      </c>
      <c r="I295">
        <v>0.9</v>
      </c>
      <c r="J295" t="s">
        <v>170</v>
      </c>
      <c r="K295" t="str">
        <f>RIGHT(BOMCheck[[#This Row],[CircuitID]])</f>
        <v>9</v>
      </c>
      <c r="L295" s="1">
        <f>SUMIFS(I:I,J:J,BOMCheck[[#This Row],[CitcuitNumber]],H:H,7)</f>
        <v>10</v>
      </c>
      <c r="M295" s="1">
        <f>SUMIFS(I:I,J:J,BOMCheck[[#This Row],[CitcuitNumber]],G:G,"IEK-25-04")</f>
        <v>0</v>
      </c>
      <c r="N295" s="1" t="str" cm="1">
        <f t="array" ref="N295">_xlfn.TEXTJOIN(", ",TRUE,_xlfn.UNIQUE(IF(BOMCheck[[#This Row],[CitcuitNumber]]=J:J,K:K,"")))</f>
        <v>0, 1, 2, 3, 4, 5, 6, 7, 8, 9</v>
      </c>
    </row>
    <row r="296" spans="1:14" x14ac:dyDescent="0.25">
      <c r="A296">
        <v>457</v>
      </c>
      <c r="B296">
        <v>0</v>
      </c>
      <c r="C296">
        <v>0</v>
      </c>
      <c r="D296" s="1" t="s">
        <v>150</v>
      </c>
      <c r="E296" s="1" t="s">
        <v>152</v>
      </c>
      <c r="F296" t="s">
        <v>15</v>
      </c>
      <c r="G296" s="1" t="s">
        <v>162</v>
      </c>
      <c r="H296">
        <v>7</v>
      </c>
      <c r="I296">
        <v>1</v>
      </c>
      <c r="J296" t="s">
        <v>170</v>
      </c>
      <c r="K296" t="str">
        <f>RIGHT(BOMCheck[[#This Row],[CircuitID]])</f>
        <v>9</v>
      </c>
      <c r="L296" s="1">
        <f>SUMIFS(I:I,J:J,BOMCheck[[#This Row],[CitcuitNumber]],H:H,7)</f>
        <v>10</v>
      </c>
      <c r="M296" s="1">
        <f>SUMIFS(I:I,J:J,BOMCheck[[#This Row],[CitcuitNumber]],G:G,"IEK-25-04")</f>
        <v>0</v>
      </c>
      <c r="N296" s="1" t="str" cm="1">
        <f t="array" ref="N296">_xlfn.TEXTJOIN(", ",TRUE,_xlfn.UNIQUE(IF(BOMCheck[[#This Row],[CitcuitNumber]]=J:J,K:K,"")))</f>
        <v>0, 1, 2, 3, 4, 5, 6, 7, 8, 9</v>
      </c>
    </row>
    <row r="297" spans="1:14" x14ac:dyDescent="0.25">
      <c r="A297">
        <v>457</v>
      </c>
      <c r="B297">
        <v>0</v>
      </c>
      <c r="C297">
        <v>0</v>
      </c>
      <c r="D297" s="1" t="s">
        <v>150</v>
      </c>
      <c r="E297" s="1" t="s">
        <v>152</v>
      </c>
      <c r="F297" t="s">
        <v>15</v>
      </c>
      <c r="G297" s="1" t="s">
        <v>161</v>
      </c>
      <c r="H297">
        <v>4</v>
      </c>
      <c r="I297">
        <v>1</v>
      </c>
      <c r="J297" t="s">
        <v>170</v>
      </c>
      <c r="K297" t="str">
        <f>RIGHT(BOMCheck[[#This Row],[CircuitID]])</f>
        <v>9</v>
      </c>
      <c r="L297" s="1">
        <f>SUMIFS(I:I,J:J,BOMCheck[[#This Row],[CitcuitNumber]],H:H,7)</f>
        <v>10</v>
      </c>
      <c r="M297" s="1">
        <f>SUMIFS(I:I,J:J,BOMCheck[[#This Row],[CitcuitNumber]],G:G,"IEK-25-04")</f>
        <v>0</v>
      </c>
      <c r="N297" s="1" t="str" cm="1">
        <f t="array" ref="N297">_xlfn.TEXTJOIN(", ",TRUE,_xlfn.UNIQUE(IF(BOMCheck[[#This Row],[CitcuitNumber]]=J:J,K:K,"")))</f>
        <v>0, 1, 2, 3, 4, 5, 6, 7, 8, 9</v>
      </c>
    </row>
    <row r="298" spans="1:14" x14ac:dyDescent="0.25">
      <c r="A298">
        <v>457</v>
      </c>
      <c r="B298">
        <v>0</v>
      </c>
      <c r="C298">
        <v>0</v>
      </c>
      <c r="D298" s="1" t="s">
        <v>150</v>
      </c>
      <c r="E298" s="1" t="s">
        <v>152</v>
      </c>
      <c r="F298" t="s">
        <v>15</v>
      </c>
      <c r="G298" s="1" t="s">
        <v>163</v>
      </c>
      <c r="H298">
        <v>13</v>
      </c>
      <c r="I298">
        <v>7</v>
      </c>
      <c r="J298" t="s">
        <v>170</v>
      </c>
      <c r="K298" t="str">
        <f>RIGHT(BOMCheck[[#This Row],[CircuitID]])</f>
        <v>9</v>
      </c>
      <c r="L298" s="1">
        <f>SUMIFS(I:I,J:J,BOMCheck[[#This Row],[CitcuitNumber]],H:H,7)</f>
        <v>10</v>
      </c>
      <c r="M298" s="1">
        <f>SUMIFS(I:I,J:J,BOMCheck[[#This Row],[CitcuitNumber]],G:G,"IEK-25-04")</f>
        <v>0</v>
      </c>
      <c r="N298" s="1" t="str" cm="1">
        <f t="array" ref="N298">_xlfn.TEXTJOIN(", ",TRUE,_xlfn.UNIQUE(IF(BOMCheck[[#This Row],[CitcuitNumber]]=J:J,K:K,"")))</f>
        <v>0, 1, 2, 3, 4, 5, 6, 7, 8, 9</v>
      </c>
    </row>
    <row r="299" spans="1:14" x14ac:dyDescent="0.25">
      <c r="A299">
        <v>457</v>
      </c>
      <c r="B299">
        <v>0</v>
      </c>
      <c r="C299">
        <v>0</v>
      </c>
      <c r="D299" s="1" t="s">
        <v>150</v>
      </c>
      <c r="E299" s="1" t="s">
        <v>152</v>
      </c>
      <c r="F299" t="s">
        <v>15</v>
      </c>
      <c r="G299" s="1" t="s">
        <v>45</v>
      </c>
      <c r="H299">
        <v>10</v>
      </c>
      <c r="I299">
        <v>1</v>
      </c>
      <c r="J299" t="s">
        <v>170</v>
      </c>
      <c r="K299" t="str">
        <f>RIGHT(BOMCheck[[#This Row],[CircuitID]])</f>
        <v>9</v>
      </c>
      <c r="L299" s="1">
        <f>SUMIFS(I:I,J:J,BOMCheck[[#This Row],[CitcuitNumber]],H:H,7)</f>
        <v>10</v>
      </c>
      <c r="M299" s="1">
        <f>SUMIFS(I:I,J:J,BOMCheck[[#This Row],[CitcuitNumber]],G:G,"IEK-25-04")</f>
        <v>0</v>
      </c>
      <c r="N299" s="1" t="str" cm="1">
        <f t="array" ref="N299">_xlfn.TEXTJOIN(", ",TRUE,_xlfn.UNIQUE(IF(BOMCheck[[#This Row],[CitcuitNumber]]=J:J,K:K,"")))</f>
        <v>0, 1, 2, 3, 4, 5, 6, 7, 8, 9</v>
      </c>
    </row>
    <row r="300" spans="1:14" x14ac:dyDescent="0.25">
      <c r="A300">
        <v>457</v>
      </c>
      <c r="B300">
        <v>0</v>
      </c>
      <c r="C300">
        <v>0</v>
      </c>
      <c r="D300" s="1" t="s">
        <v>150</v>
      </c>
      <c r="E300" s="1" t="s">
        <v>152</v>
      </c>
      <c r="F300" t="s">
        <v>15</v>
      </c>
      <c r="G300" s="1" t="s">
        <v>167</v>
      </c>
      <c r="H300">
        <v>1</v>
      </c>
      <c r="I300">
        <v>89.24</v>
      </c>
      <c r="J300" t="s">
        <v>170</v>
      </c>
      <c r="K300" t="str">
        <f>RIGHT(BOMCheck[[#This Row],[CircuitID]])</f>
        <v>9</v>
      </c>
      <c r="L300" s="1">
        <f>SUMIFS(I:I,J:J,BOMCheck[[#This Row],[CitcuitNumber]],H:H,7)</f>
        <v>10</v>
      </c>
      <c r="M300" s="1">
        <f>SUMIFS(I:I,J:J,BOMCheck[[#This Row],[CitcuitNumber]],G:G,"IEK-25-04")</f>
        <v>0</v>
      </c>
      <c r="N300" s="1" t="str" cm="1">
        <f t="array" ref="N300">_xlfn.TEXTJOIN(", ",TRUE,_xlfn.UNIQUE(IF(BOMCheck[[#This Row],[CitcuitNumber]]=J:J,K:K,"")))</f>
        <v>0, 1, 2, 3, 4, 5, 6, 7, 8, 9</v>
      </c>
    </row>
    <row r="301" spans="1:14" x14ac:dyDescent="0.25">
      <c r="A301">
        <v>458</v>
      </c>
      <c r="B301">
        <v>457</v>
      </c>
      <c r="C301">
        <v>457</v>
      </c>
      <c r="D301" s="1" t="s">
        <v>153</v>
      </c>
      <c r="E301" s="1" t="s">
        <v>152</v>
      </c>
      <c r="F301" t="s">
        <v>5</v>
      </c>
      <c r="G301" s="1" t="s">
        <v>44</v>
      </c>
      <c r="H301">
        <v>11</v>
      </c>
      <c r="I301">
        <v>0.6</v>
      </c>
      <c r="J301" t="s">
        <v>170</v>
      </c>
      <c r="K301" t="str">
        <f>RIGHT(BOMCheck[[#This Row],[CircuitID]])</f>
        <v>9</v>
      </c>
      <c r="L301" s="1">
        <f>SUMIFS(I:I,J:J,BOMCheck[[#This Row],[CitcuitNumber]],H:H,7)</f>
        <v>10</v>
      </c>
      <c r="M301" s="1">
        <f>SUMIFS(I:I,J:J,BOMCheck[[#This Row],[CitcuitNumber]],G:G,"IEK-25-04")</f>
        <v>0</v>
      </c>
      <c r="N301" s="1" t="str" cm="1">
        <f t="array" ref="N301">_xlfn.TEXTJOIN(", ",TRUE,_xlfn.UNIQUE(IF(BOMCheck[[#This Row],[CitcuitNumber]]=J:J,K:K,"")))</f>
        <v>0, 1, 2, 3, 4, 5, 6, 7, 8, 9</v>
      </c>
    </row>
    <row r="302" spans="1:14" x14ac:dyDescent="0.25">
      <c r="A302">
        <v>458</v>
      </c>
      <c r="B302">
        <v>457</v>
      </c>
      <c r="C302">
        <v>457</v>
      </c>
      <c r="D302" s="1" t="s">
        <v>153</v>
      </c>
      <c r="E302" s="1" t="s">
        <v>152</v>
      </c>
      <c r="F302" t="s">
        <v>5</v>
      </c>
      <c r="G302" s="1" t="s">
        <v>167</v>
      </c>
      <c r="H302">
        <v>1</v>
      </c>
      <c r="I302">
        <v>132.22</v>
      </c>
      <c r="J302" t="s">
        <v>170</v>
      </c>
      <c r="K302" t="str">
        <f>RIGHT(BOMCheck[[#This Row],[CircuitID]])</f>
        <v>9</v>
      </c>
      <c r="L302" s="1">
        <f>SUMIFS(I:I,J:J,BOMCheck[[#This Row],[CitcuitNumber]],H:H,7)</f>
        <v>10</v>
      </c>
      <c r="M302" s="1">
        <f>SUMIFS(I:I,J:J,BOMCheck[[#This Row],[CitcuitNumber]],G:G,"IEK-25-04")</f>
        <v>0</v>
      </c>
      <c r="N302" s="1" t="str" cm="1">
        <f t="array" ref="N302">_xlfn.TEXTJOIN(", ",TRUE,_xlfn.UNIQUE(IF(BOMCheck[[#This Row],[CitcuitNumber]]=J:J,K:K,"")))</f>
        <v>0, 1, 2, 3, 4, 5, 6, 7, 8, 9</v>
      </c>
    </row>
    <row r="303" spans="1:14" x14ac:dyDescent="0.25">
      <c r="A303">
        <v>458</v>
      </c>
      <c r="B303">
        <v>457</v>
      </c>
      <c r="C303">
        <v>457</v>
      </c>
      <c r="D303" s="1" t="s">
        <v>153</v>
      </c>
      <c r="E303" s="1" t="s">
        <v>152</v>
      </c>
      <c r="F303" t="s">
        <v>5</v>
      </c>
      <c r="G303" s="1" t="s">
        <v>163</v>
      </c>
      <c r="H303">
        <v>13</v>
      </c>
      <c r="I303">
        <v>5</v>
      </c>
      <c r="J303" t="s">
        <v>170</v>
      </c>
      <c r="K303" t="str">
        <f>RIGHT(BOMCheck[[#This Row],[CircuitID]])</f>
        <v>9</v>
      </c>
      <c r="L303" s="1">
        <f>SUMIFS(I:I,J:J,BOMCheck[[#This Row],[CitcuitNumber]],H:H,7)</f>
        <v>10</v>
      </c>
      <c r="M303" s="1">
        <f>SUMIFS(I:I,J:J,BOMCheck[[#This Row],[CitcuitNumber]],G:G,"IEK-25-04")</f>
        <v>0</v>
      </c>
      <c r="N303" s="1" t="str" cm="1">
        <f t="array" ref="N303">_xlfn.TEXTJOIN(", ",TRUE,_xlfn.UNIQUE(IF(BOMCheck[[#This Row],[CitcuitNumber]]=J:J,K:K,"")))</f>
        <v>0, 1, 2, 3, 4, 5, 6, 7, 8, 9</v>
      </c>
    </row>
    <row r="304" spans="1:14" x14ac:dyDescent="0.25">
      <c r="A304">
        <v>459</v>
      </c>
      <c r="B304">
        <v>0</v>
      </c>
      <c r="C304">
        <v>0</v>
      </c>
      <c r="D304" s="1" t="s">
        <v>154</v>
      </c>
      <c r="E304" s="1" t="s">
        <v>155</v>
      </c>
      <c r="F304" t="s">
        <v>15</v>
      </c>
      <c r="G304" s="1" t="s">
        <v>167</v>
      </c>
      <c r="H304">
        <v>1</v>
      </c>
      <c r="I304">
        <v>257.22000000000003</v>
      </c>
      <c r="J304" t="s">
        <v>171</v>
      </c>
      <c r="K304" t="str">
        <f>RIGHT(BOMCheck[[#This Row],[CircuitID]])</f>
        <v>0</v>
      </c>
      <c r="L304" s="1">
        <f>SUMIFS(I:I,J:J,BOMCheck[[#This Row],[CitcuitNumber]],H:H,7)</f>
        <v>3</v>
      </c>
      <c r="M304" s="1">
        <f>SUMIFS(I:I,J:J,BOMCheck[[#This Row],[CitcuitNumber]],G:G,"IEK-25-04")</f>
        <v>0</v>
      </c>
      <c r="N304" s="1" t="str" cm="1">
        <f t="array" ref="N304">_xlfn.TEXTJOIN(", ",TRUE,_xlfn.UNIQUE(IF(BOMCheck[[#This Row],[CitcuitNumber]]=J:J,K:K,"")))</f>
        <v>0, 1, 2</v>
      </c>
    </row>
    <row r="305" spans="1:14" x14ac:dyDescent="0.25">
      <c r="A305">
        <v>459</v>
      </c>
      <c r="B305">
        <v>0</v>
      </c>
      <c r="C305">
        <v>0</v>
      </c>
      <c r="D305" s="1" t="s">
        <v>154</v>
      </c>
      <c r="E305" s="1" t="s">
        <v>155</v>
      </c>
      <c r="F305" t="s">
        <v>15</v>
      </c>
      <c r="G305" s="1" t="s">
        <v>161</v>
      </c>
      <c r="H305">
        <v>4</v>
      </c>
      <c r="I305">
        <v>1</v>
      </c>
      <c r="J305" t="s">
        <v>171</v>
      </c>
      <c r="K305" t="str">
        <f>RIGHT(BOMCheck[[#This Row],[CircuitID]])</f>
        <v>0</v>
      </c>
      <c r="L305" s="1">
        <f>SUMIFS(I:I,J:J,BOMCheck[[#This Row],[CitcuitNumber]],H:H,7)</f>
        <v>3</v>
      </c>
      <c r="M305" s="1">
        <f>SUMIFS(I:I,J:J,BOMCheck[[#This Row],[CitcuitNumber]],G:G,"IEK-25-04")</f>
        <v>0</v>
      </c>
      <c r="N305" s="1" t="str" cm="1">
        <f t="array" ref="N305">_xlfn.TEXTJOIN(", ",TRUE,_xlfn.UNIQUE(IF(BOMCheck[[#This Row],[CitcuitNumber]]=J:J,K:K,"")))</f>
        <v>0, 1, 2</v>
      </c>
    </row>
    <row r="306" spans="1:14" x14ac:dyDescent="0.25">
      <c r="A306">
        <v>459</v>
      </c>
      <c r="B306">
        <v>0</v>
      </c>
      <c r="C306">
        <v>0</v>
      </c>
      <c r="D306" s="1" t="s">
        <v>154</v>
      </c>
      <c r="E306" s="1" t="s">
        <v>155</v>
      </c>
      <c r="F306" t="s">
        <v>15</v>
      </c>
      <c r="G306" s="1" t="s">
        <v>44</v>
      </c>
      <c r="H306">
        <v>11</v>
      </c>
      <c r="I306">
        <v>12.8</v>
      </c>
      <c r="J306" t="s">
        <v>171</v>
      </c>
      <c r="K306" t="str">
        <f>RIGHT(BOMCheck[[#This Row],[CircuitID]])</f>
        <v>0</v>
      </c>
      <c r="L306" s="1">
        <f>SUMIFS(I:I,J:J,BOMCheck[[#This Row],[CitcuitNumber]],H:H,7)</f>
        <v>3</v>
      </c>
      <c r="M306" s="1">
        <f>SUMIFS(I:I,J:J,BOMCheck[[#This Row],[CitcuitNumber]],G:G,"IEK-25-04")</f>
        <v>0</v>
      </c>
      <c r="N306" s="1" t="str" cm="1">
        <f t="array" ref="N306">_xlfn.TEXTJOIN(", ",TRUE,_xlfn.UNIQUE(IF(BOMCheck[[#This Row],[CitcuitNumber]]=J:J,K:K,"")))</f>
        <v>0, 1, 2</v>
      </c>
    </row>
    <row r="307" spans="1:14" x14ac:dyDescent="0.25">
      <c r="A307">
        <v>459</v>
      </c>
      <c r="B307">
        <v>0</v>
      </c>
      <c r="C307">
        <v>0</v>
      </c>
      <c r="D307" s="1" t="s">
        <v>154</v>
      </c>
      <c r="E307" s="1" t="s">
        <v>155</v>
      </c>
      <c r="F307" t="s">
        <v>15</v>
      </c>
      <c r="G307" s="1" t="s">
        <v>43</v>
      </c>
      <c r="H307">
        <v>10</v>
      </c>
      <c r="I307">
        <v>1</v>
      </c>
      <c r="J307" t="s">
        <v>171</v>
      </c>
      <c r="K307" t="str">
        <f>RIGHT(BOMCheck[[#This Row],[CircuitID]])</f>
        <v>0</v>
      </c>
      <c r="L307" s="1">
        <f>SUMIFS(I:I,J:J,BOMCheck[[#This Row],[CitcuitNumber]],H:H,7)</f>
        <v>3</v>
      </c>
      <c r="M307" s="1">
        <f>SUMIFS(I:I,J:J,BOMCheck[[#This Row],[CitcuitNumber]],G:G,"IEK-25-04")</f>
        <v>0</v>
      </c>
      <c r="N307" s="1" t="str" cm="1">
        <f t="array" ref="N307">_xlfn.TEXTJOIN(", ",TRUE,_xlfn.UNIQUE(IF(BOMCheck[[#This Row],[CitcuitNumber]]=J:J,K:K,"")))</f>
        <v>0, 1, 2</v>
      </c>
    </row>
    <row r="308" spans="1:14" x14ac:dyDescent="0.25">
      <c r="A308">
        <v>459</v>
      </c>
      <c r="B308">
        <v>0</v>
      </c>
      <c r="C308">
        <v>0</v>
      </c>
      <c r="D308" s="1" t="s">
        <v>154</v>
      </c>
      <c r="E308" s="1" t="s">
        <v>155</v>
      </c>
      <c r="F308" t="s">
        <v>15</v>
      </c>
      <c r="G308" s="1" t="s">
        <v>162</v>
      </c>
      <c r="H308">
        <v>7</v>
      </c>
      <c r="I308">
        <v>1</v>
      </c>
      <c r="J308" t="s">
        <v>171</v>
      </c>
      <c r="K308" t="str">
        <f>RIGHT(BOMCheck[[#This Row],[CircuitID]])</f>
        <v>0</v>
      </c>
      <c r="L308" s="1">
        <f>SUMIFS(I:I,J:J,BOMCheck[[#This Row],[CitcuitNumber]],H:H,7)</f>
        <v>3</v>
      </c>
      <c r="M308" s="1">
        <f>SUMIFS(I:I,J:J,BOMCheck[[#This Row],[CitcuitNumber]],G:G,"IEK-25-04")</f>
        <v>0</v>
      </c>
      <c r="N308" s="1" t="str" cm="1">
        <f t="array" ref="N308">_xlfn.TEXTJOIN(", ",TRUE,_xlfn.UNIQUE(IF(BOMCheck[[#This Row],[CitcuitNumber]]=J:J,K:K,"")))</f>
        <v>0, 1, 2</v>
      </c>
    </row>
    <row r="309" spans="1:14" x14ac:dyDescent="0.25">
      <c r="A309">
        <v>459</v>
      </c>
      <c r="B309">
        <v>0</v>
      </c>
      <c r="C309">
        <v>0</v>
      </c>
      <c r="D309" s="1" t="s">
        <v>154</v>
      </c>
      <c r="E309" s="1" t="s">
        <v>155</v>
      </c>
      <c r="F309" t="s">
        <v>15</v>
      </c>
      <c r="G309" s="1" t="s">
        <v>163</v>
      </c>
      <c r="H309">
        <v>13</v>
      </c>
      <c r="I309">
        <v>20</v>
      </c>
      <c r="J309" t="s">
        <v>171</v>
      </c>
      <c r="K309" t="str">
        <f>RIGHT(BOMCheck[[#This Row],[CircuitID]])</f>
        <v>0</v>
      </c>
      <c r="L309" s="1">
        <f>SUMIFS(I:I,J:J,BOMCheck[[#This Row],[CitcuitNumber]],H:H,7)</f>
        <v>3</v>
      </c>
      <c r="M309" s="1">
        <f>SUMIFS(I:I,J:J,BOMCheck[[#This Row],[CitcuitNumber]],G:G,"IEK-25-04")</f>
        <v>0</v>
      </c>
      <c r="N309" s="1" t="str" cm="1">
        <f t="array" ref="N309">_xlfn.TEXTJOIN(", ",TRUE,_xlfn.UNIQUE(IF(BOMCheck[[#This Row],[CitcuitNumber]]=J:J,K:K,"")))</f>
        <v>0, 1, 2</v>
      </c>
    </row>
    <row r="310" spans="1:14" x14ac:dyDescent="0.25">
      <c r="A310">
        <v>460</v>
      </c>
      <c r="B310">
        <v>0</v>
      </c>
      <c r="C310">
        <v>0</v>
      </c>
      <c r="D310" s="1" t="s">
        <v>156</v>
      </c>
      <c r="E310" s="1" t="s">
        <v>157</v>
      </c>
      <c r="F310" t="s">
        <v>15</v>
      </c>
      <c r="G310" s="1" t="s">
        <v>162</v>
      </c>
      <c r="H310">
        <v>7</v>
      </c>
      <c r="I310">
        <v>1</v>
      </c>
      <c r="J310" t="s">
        <v>171</v>
      </c>
      <c r="K310" t="str">
        <f>RIGHT(BOMCheck[[#This Row],[CircuitID]])</f>
        <v>1</v>
      </c>
      <c r="L310" s="1">
        <f>SUMIFS(I:I,J:J,BOMCheck[[#This Row],[CitcuitNumber]],H:H,7)</f>
        <v>3</v>
      </c>
      <c r="M310" s="1">
        <f>SUMIFS(I:I,J:J,BOMCheck[[#This Row],[CitcuitNumber]],G:G,"IEK-25-04")</f>
        <v>0</v>
      </c>
      <c r="N310" s="1" t="str" cm="1">
        <f t="array" ref="N310">_xlfn.TEXTJOIN(", ",TRUE,_xlfn.UNIQUE(IF(BOMCheck[[#This Row],[CitcuitNumber]]=J:J,K:K,"")))</f>
        <v>0, 1, 2</v>
      </c>
    </row>
    <row r="311" spans="1:14" x14ac:dyDescent="0.25">
      <c r="A311">
        <v>460</v>
      </c>
      <c r="B311">
        <v>0</v>
      </c>
      <c r="C311">
        <v>0</v>
      </c>
      <c r="D311" s="1" t="s">
        <v>156</v>
      </c>
      <c r="E311" s="1" t="s">
        <v>157</v>
      </c>
      <c r="F311" t="s">
        <v>15</v>
      </c>
      <c r="G311" s="1" t="s">
        <v>161</v>
      </c>
      <c r="H311">
        <v>4</v>
      </c>
      <c r="I311">
        <v>1</v>
      </c>
      <c r="J311" t="s">
        <v>171</v>
      </c>
      <c r="K311" t="str">
        <f>RIGHT(BOMCheck[[#This Row],[CircuitID]])</f>
        <v>1</v>
      </c>
      <c r="L311" s="1">
        <f>SUMIFS(I:I,J:J,BOMCheck[[#This Row],[CitcuitNumber]],H:H,7)</f>
        <v>3</v>
      </c>
      <c r="M311" s="1">
        <f>SUMIFS(I:I,J:J,BOMCheck[[#This Row],[CitcuitNumber]],G:G,"IEK-25-04")</f>
        <v>0</v>
      </c>
      <c r="N311" s="1" t="str" cm="1">
        <f t="array" ref="N311">_xlfn.TEXTJOIN(", ",TRUE,_xlfn.UNIQUE(IF(BOMCheck[[#This Row],[CitcuitNumber]]=J:J,K:K,"")))</f>
        <v>0, 1, 2</v>
      </c>
    </row>
    <row r="312" spans="1:14" x14ac:dyDescent="0.25">
      <c r="A312">
        <v>460</v>
      </c>
      <c r="B312">
        <v>0</v>
      </c>
      <c r="C312">
        <v>0</v>
      </c>
      <c r="D312" s="1" t="s">
        <v>156</v>
      </c>
      <c r="E312" s="1" t="s">
        <v>157</v>
      </c>
      <c r="F312" t="s">
        <v>15</v>
      </c>
      <c r="G312" s="1" t="s">
        <v>45</v>
      </c>
      <c r="H312">
        <v>10</v>
      </c>
      <c r="I312">
        <v>1</v>
      </c>
      <c r="J312" t="s">
        <v>171</v>
      </c>
      <c r="K312" t="str">
        <f>RIGHT(BOMCheck[[#This Row],[CircuitID]])</f>
        <v>1</v>
      </c>
      <c r="L312" s="1">
        <f>SUMIFS(I:I,J:J,BOMCheck[[#This Row],[CitcuitNumber]],H:H,7)</f>
        <v>3</v>
      </c>
      <c r="M312" s="1">
        <f>SUMIFS(I:I,J:J,BOMCheck[[#This Row],[CitcuitNumber]],G:G,"IEK-25-04")</f>
        <v>0</v>
      </c>
      <c r="N312" s="1" t="str" cm="1">
        <f t="array" ref="N312">_xlfn.TEXTJOIN(", ",TRUE,_xlfn.UNIQUE(IF(BOMCheck[[#This Row],[CitcuitNumber]]=J:J,K:K,"")))</f>
        <v>0, 1, 2</v>
      </c>
    </row>
    <row r="313" spans="1:14" x14ac:dyDescent="0.25">
      <c r="A313">
        <v>460</v>
      </c>
      <c r="B313">
        <v>0</v>
      </c>
      <c r="C313">
        <v>0</v>
      </c>
      <c r="D313" s="1" t="s">
        <v>156</v>
      </c>
      <c r="E313" s="1" t="s">
        <v>157</v>
      </c>
      <c r="F313" t="s">
        <v>15</v>
      </c>
      <c r="G313" s="1" t="s">
        <v>44</v>
      </c>
      <c r="H313">
        <v>11</v>
      </c>
      <c r="I313">
        <v>0.5</v>
      </c>
      <c r="J313" t="s">
        <v>171</v>
      </c>
      <c r="K313" t="str">
        <f>RIGHT(BOMCheck[[#This Row],[CircuitID]])</f>
        <v>1</v>
      </c>
      <c r="L313" s="1">
        <f>SUMIFS(I:I,J:J,BOMCheck[[#This Row],[CitcuitNumber]],H:H,7)</f>
        <v>3</v>
      </c>
      <c r="M313" s="1">
        <f>SUMIFS(I:I,J:J,BOMCheck[[#This Row],[CitcuitNumber]],G:G,"IEK-25-04")</f>
        <v>0</v>
      </c>
      <c r="N313" s="1" t="str" cm="1">
        <f t="array" ref="N313">_xlfn.TEXTJOIN(", ",TRUE,_xlfn.UNIQUE(IF(BOMCheck[[#This Row],[CitcuitNumber]]=J:J,K:K,"")))</f>
        <v>0, 1, 2</v>
      </c>
    </row>
    <row r="314" spans="1:14" x14ac:dyDescent="0.25">
      <c r="A314">
        <v>460</v>
      </c>
      <c r="B314">
        <v>0</v>
      </c>
      <c r="C314">
        <v>0</v>
      </c>
      <c r="D314" s="1" t="s">
        <v>156</v>
      </c>
      <c r="E314" s="1" t="s">
        <v>157</v>
      </c>
      <c r="F314" t="s">
        <v>15</v>
      </c>
      <c r="G314" s="1" t="s">
        <v>167</v>
      </c>
      <c r="H314">
        <v>1</v>
      </c>
      <c r="I314">
        <v>46.92</v>
      </c>
      <c r="J314" t="s">
        <v>171</v>
      </c>
      <c r="K314" t="str">
        <f>RIGHT(BOMCheck[[#This Row],[CircuitID]])</f>
        <v>1</v>
      </c>
      <c r="L314" s="1">
        <f>SUMIFS(I:I,J:J,BOMCheck[[#This Row],[CitcuitNumber]],H:H,7)</f>
        <v>3</v>
      </c>
      <c r="M314" s="1">
        <f>SUMIFS(I:I,J:J,BOMCheck[[#This Row],[CitcuitNumber]],G:G,"IEK-25-04")</f>
        <v>0</v>
      </c>
      <c r="N314" s="1" t="str" cm="1">
        <f t="array" ref="N314">_xlfn.TEXTJOIN(", ",TRUE,_xlfn.UNIQUE(IF(BOMCheck[[#This Row],[CitcuitNumber]]=J:J,K:K,"")))</f>
        <v>0, 1, 2</v>
      </c>
    </row>
    <row r="315" spans="1:14" x14ac:dyDescent="0.25">
      <c r="A315">
        <v>460</v>
      </c>
      <c r="B315">
        <v>0</v>
      </c>
      <c r="C315">
        <v>0</v>
      </c>
      <c r="D315" s="1" t="s">
        <v>156</v>
      </c>
      <c r="E315" s="1" t="s">
        <v>157</v>
      </c>
      <c r="F315" t="s">
        <v>15</v>
      </c>
      <c r="G315" s="1" t="s">
        <v>163</v>
      </c>
      <c r="H315">
        <v>13</v>
      </c>
      <c r="I315">
        <v>2</v>
      </c>
      <c r="J315" t="s">
        <v>171</v>
      </c>
      <c r="K315" t="str">
        <f>RIGHT(BOMCheck[[#This Row],[CircuitID]])</f>
        <v>1</v>
      </c>
      <c r="L315" s="1">
        <f>SUMIFS(I:I,J:J,BOMCheck[[#This Row],[CitcuitNumber]],H:H,7)</f>
        <v>3</v>
      </c>
      <c r="M315" s="1">
        <f>SUMIFS(I:I,J:J,BOMCheck[[#This Row],[CitcuitNumber]],G:G,"IEK-25-04")</f>
        <v>0</v>
      </c>
      <c r="N315" s="1" t="str" cm="1">
        <f t="array" ref="N315">_xlfn.TEXTJOIN(", ",TRUE,_xlfn.UNIQUE(IF(BOMCheck[[#This Row],[CitcuitNumber]]=J:J,K:K,"")))</f>
        <v>0, 1, 2</v>
      </c>
    </row>
    <row r="316" spans="1:14" x14ac:dyDescent="0.25">
      <c r="A316">
        <v>461</v>
      </c>
      <c r="B316">
        <v>0</v>
      </c>
      <c r="C316">
        <v>0</v>
      </c>
      <c r="D316" s="1" t="s">
        <v>156</v>
      </c>
      <c r="E316" s="1" t="s">
        <v>158</v>
      </c>
      <c r="F316" t="s">
        <v>15</v>
      </c>
      <c r="G316" s="1" t="s">
        <v>161</v>
      </c>
      <c r="H316">
        <v>4</v>
      </c>
      <c r="I316">
        <v>1</v>
      </c>
      <c r="J316" t="s">
        <v>171</v>
      </c>
      <c r="K316" t="str">
        <f>RIGHT(BOMCheck[[#This Row],[CircuitID]])</f>
        <v>2</v>
      </c>
      <c r="L316" s="1">
        <f>SUMIFS(I:I,J:J,BOMCheck[[#This Row],[CitcuitNumber]],H:H,7)</f>
        <v>3</v>
      </c>
      <c r="M316" s="1">
        <f>SUMIFS(I:I,J:J,BOMCheck[[#This Row],[CitcuitNumber]],G:G,"IEK-25-04")</f>
        <v>0</v>
      </c>
      <c r="N316" s="1" t="str" cm="1">
        <f t="array" ref="N316">_xlfn.TEXTJOIN(", ",TRUE,_xlfn.UNIQUE(IF(BOMCheck[[#This Row],[CitcuitNumber]]=J:J,K:K,"")))</f>
        <v>0, 1, 2</v>
      </c>
    </row>
    <row r="317" spans="1:14" x14ac:dyDescent="0.25">
      <c r="A317">
        <v>461</v>
      </c>
      <c r="B317">
        <v>0</v>
      </c>
      <c r="C317">
        <v>0</v>
      </c>
      <c r="D317" s="1" t="s">
        <v>156</v>
      </c>
      <c r="E317" s="1" t="s">
        <v>158</v>
      </c>
      <c r="F317" t="s">
        <v>15</v>
      </c>
      <c r="G317" s="1" t="s">
        <v>167</v>
      </c>
      <c r="H317">
        <v>1</v>
      </c>
      <c r="I317">
        <v>88.25</v>
      </c>
      <c r="J317" t="s">
        <v>171</v>
      </c>
      <c r="K317" t="str">
        <f>RIGHT(BOMCheck[[#This Row],[CircuitID]])</f>
        <v>2</v>
      </c>
      <c r="L317" s="1">
        <f>SUMIFS(I:I,J:J,BOMCheck[[#This Row],[CitcuitNumber]],H:H,7)</f>
        <v>3</v>
      </c>
      <c r="M317" s="1">
        <f>SUMIFS(I:I,J:J,BOMCheck[[#This Row],[CitcuitNumber]],G:G,"IEK-25-04")</f>
        <v>0</v>
      </c>
      <c r="N317" s="1" t="str" cm="1">
        <f t="array" ref="N317">_xlfn.TEXTJOIN(", ",TRUE,_xlfn.UNIQUE(IF(BOMCheck[[#This Row],[CitcuitNumber]]=J:J,K:K,"")))</f>
        <v>0, 1, 2</v>
      </c>
    </row>
    <row r="318" spans="1:14" x14ac:dyDescent="0.25">
      <c r="A318">
        <v>461</v>
      </c>
      <c r="B318">
        <v>0</v>
      </c>
      <c r="C318">
        <v>0</v>
      </c>
      <c r="D318" s="1" t="s">
        <v>156</v>
      </c>
      <c r="E318" s="1" t="s">
        <v>158</v>
      </c>
      <c r="F318" t="s">
        <v>15</v>
      </c>
      <c r="G318" s="1" t="s">
        <v>163</v>
      </c>
      <c r="H318">
        <v>13</v>
      </c>
      <c r="I318">
        <v>7</v>
      </c>
      <c r="J318" t="s">
        <v>171</v>
      </c>
      <c r="K318" t="str">
        <f>RIGHT(BOMCheck[[#This Row],[CircuitID]])</f>
        <v>2</v>
      </c>
      <c r="L318" s="1">
        <f>SUMIFS(I:I,J:J,BOMCheck[[#This Row],[CitcuitNumber]],H:H,7)</f>
        <v>3</v>
      </c>
      <c r="M318" s="1">
        <f>SUMIFS(I:I,J:J,BOMCheck[[#This Row],[CitcuitNumber]],G:G,"IEK-25-04")</f>
        <v>0</v>
      </c>
      <c r="N318" s="1" t="str" cm="1">
        <f t="array" ref="N318">_xlfn.TEXTJOIN(", ",TRUE,_xlfn.UNIQUE(IF(BOMCheck[[#This Row],[CitcuitNumber]]=J:J,K:K,"")))</f>
        <v>0, 1, 2</v>
      </c>
    </row>
    <row r="319" spans="1:14" x14ac:dyDescent="0.25">
      <c r="A319">
        <v>461</v>
      </c>
      <c r="B319">
        <v>0</v>
      </c>
      <c r="C319">
        <v>0</v>
      </c>
      <c r="D319" s="1" t="s">
        <v>156</v>
      </c>
      <c r="E319" s="1" t="s">
        <v>158</v>
      </c>
      <c r="F319" t="s">
        <v>15</v>
      </c>
      <c r="G319" s="1" t="s">
        <v>168</v>
      </c>
      <c r="H319">
        <v>4</v>
      </c>
      <c r="I319">
        <v>1</v>
      </c>
      <c r="J319" t="s">
        <v>171</v>
      </c>
      <c r="K319" t="str">
        <f>RIGHT(BOMCheck[[#This Row],[CircuitID]])</f>
        <v>2</v>
      </c>
      <c r="L319" s="1">
        <f>SUMIFS(I:I,J:J,BOMCheck[[#This Row],[CitcuitNumber]],H:H,7)</f>
        <v>3</v>
      </c>
      <c r="M319" s="1">
        <f>SUMIFS(I:I,J:J,BOMCheck[[#This Row],[CitcuitNumber]],G:G,"IEK-25-04")</f>
        <v>0</v>
      </c>
      <c r="N319" s="1" t="str" cm="1">
        <f t="array" ref="N319">_xlfn.TEXTJOIN(", ",TRUE,_xlfn.UNIQUE(IF(BOMCheck[[#This Row],[CitcuitNumber]]=J:J,K:K,"")))</f>
        <v>0, 1, 2</v>
      </c>
    </row>
    <row r="320" spans="1:14" x14ac:dyDescent="0.25">
      <c r="A320">
        <v>461</v>
      </c>
      <c r="B320">
        <v>0</v>
      </c>
      <c r="C320">
        <v>0</v>
      </c>
      <c r="D320" s="1" t="s">
        <v>156</v>
      </c>
      <c r="E320" s="1" t="s">
        <v>158</v>
      </c>
      <c r="F320" t="s">
        <v>15</v>
      </c>
      <c r="G320" s="1" t="s">
        <v>45</v>
      </c>
      <c r="H320">
        <v>10</v>
      </c>
      <c r="I320">
        <v>1</v>
      </c>
      <c r="J320" t="s">
        <v>171</v>
      </c>
      <c r="K320" t="str">
        <f>RIGHT(BOMCheck[[#This Row],[CircuitID]])</f>
        <v>2</v>
      </c>
      <c r="L320" s="1">
        <f>SUMIFS(I:I,J:J,BOMCheck[[#This Row],[CitcuitNumber]],H:H,7)</f>
        <v>3</v>
      </c>
      <c r="M320" s="1">
        <f>SUMIFS(I:I,J:J,BOMCheck[[#This Row],[CitcuitNumber]],G:G,"IEK-25-04")</f>
        <v>0</v>
      </c>
      <c r="N320" s="1" t="str" cm="1">
        <f t="array" ref="N320">_xlfn.TEXTJOIN(", ",TRUE,_xlfn.UNIQUE(IF(BOMCheck[[#This Row],[CitcuitNumber]]=J:J,K:K,"")))</f>
        <v>0, 1, 2</v>
      </c>
    </row>
    <row r="321" spans="1:14" x14ac:dyDescent="0.25">
      <c r="A321">
        <v>461</v>
      </c>
      <c r="B321">
        <v>0</v>
      </c>
      <c r="C321">
        <v>0</v>
      </c>
      <c r="D321" s="1" t="s">
        <v>156</v>
      </c>
      <c r="E321" s="1" t="s">
        <v>158</v>
      </c>
      <c r="F321" t="s">
        <v>15</v>
      </c>
      <c r="G321" s="1" t="s">
        <v>44</v>
      </c>
      <c r="H321">
        <v>11</v>
      </c>
      <c r="I321">
        <v>0.9</v>
      </c>
      <c r="J321" t="s">
        <v>171</v>
      </c>
      <c r="K321" t="str">
        <f>RIGHT(BOMCheck[[#This Row],[CircuitID]])</f>
        <v>2</v>
      </c>
      <c r="L321" s="1">
        <f>SUMIFS(I:I,J:J,BOMCheck[[#This Row],[CitcuitNumber]],H:H,7)</f>
        <v>3</v>
      </c>
      <c r="M321" s="1">
        <f>SUMIFS(I:I,J:J,BOMCheck[[#This Row],[CitcuitNumber]],G:G,"IEK-25-04")</f>
        <v>0</v>
      </c>
      <c r="N321" s="1" t="str" cm="1">
        <f t="array" ref="N321">_xlfn.TEXTJOIN(", ",TRUE,_xlfn.UNIQUE(IF(BOMCheck[[#This Row],[CitcuitNumber]]=J:J,K:K,"")))</f>
        <v>0, 1, 2</v>
      </c>
    </row>
    <row r="322" spans="1:14" x14ac:dyDescent="0.25">
      <c r="A322">
        <v>461</v>
      </c>
      <c r="B322">
        <v>0</v>
      </c>
      <c r="C322">
        <v>0</v>
      </c>
      <c r="D322" s="1" t="s">
        <v>156</v>
      </c>
      <c r="E322" s="1" t="s">
        <v>158</v>
      </c>
      <c r="F322" t="s">
        <v>15</v>
      </c>
      <c r="G322" s="1" t="s">
        <v>162</v>
      </c>
      <c r="H322">
        <v>7</v>
      </c>
      <c r="I322">
        <v>1</v>
      </c>
      <c r="J322" t="s">
        <v>171</v>
      </c>
      <c r="K322" t="str">
        <f>RIGHT(BOMCheck[[#This Row],[CircuitID]])</f>
        <v>2</v>
      </c>
      <c r="L322" s="1">
        <f>SUMIFS(I:I,J:J,BOMCheck[[#This Row],[CitcuitNumber]],H:H,7)</f>
        <v>3</v>
      </c>
      <c r="M322" s="1">
        <f>SUMIFS(I:I,J:J,BOMCheck[[#This Row],[CitcuitNumber]],G:G,"IEK-25-04")</f>
        <v>0</v>
      </c>
      <c r="N322" s="1" t="str" cm="1">
        <f t="array" ref="N322">_xlfn.TEXTJOIN(", ",TRUE,_xlfn.UNIQUE(IF(BOMCheck[[#This Row],[CitcuitNumber]]=J:J,K:K,"")))</f>
        <v>0, 1, 2</v>
      </c>
    </row>
    <row r="323" spans="1:14" x14ac:dyDescent="0.25">
      <c r="A323">
        <v>462</v>
      </c>
      <c r="B323">
        <v>461</v>
      </c>
      <c r="C323">
        <v>461</v>
      </c>
      <c r="D323" s="1" t="s">
        <v>159</v>
      </c>
      <c r="E323" s="1" t="s">
        <v>158</v>
      </c>
      <c r="F323" t="s">
        <v>5</v>
      </c>
      <c r="G323" s="1" t="s">
        <v>163</v>
      </c>
      <c r="H323">
        <v>13</v>
      </c>
      <c r="I323">
        <v>5</v>
      </c>
      <c r="J323" t="s">
        <v>171</v>
      </c>
      <c r="K323" t="str">
        <f>RIGHT(BOMCheck[[#This Row],[CircuitID]])</f>
        <v>2</v>
      </c>
      <c r="L323" s="1">
        <f>SUMIFS(I:I,J:J,BOMCheck[[#This Row],[CitcuitNumber]],H:H,7)</f>
        <v>3</v>
      </c>
      <c r="M323" s="1">
        <f>SUMIFS(I:I,J:J,BOMCheck[[#This Row],[CitcuitNumber]],G:G,"IEK-25-04")</f>
        <v>0</v>
      </c>
      <c r="N323" s="1" t="str" cm="1">
        <f t="array" ref="N323">_xlfn.TEXTJOIN(", ",TRUE,_xlfn.UNIQUE(IF(BOMCheck[[#This Row],[CitcuitNumber]]=J:J,K:K,"")))</f>
        <v>0, 1, 2</v>
      </c>
    </row>
    <row r="324" spans="1:14" x14ac:dyDescent="0.25">
      <c r="A324">
        <v>462</v>
      </c>
      <c r="B324">
        <v>461</v>
      </c>
      <c r="C324">
        <v>461</v>
      </c>
      <c r="D324" s="1" t="s">
        <v>159</v>
      </c>
      <c r="E324" s="1" t="s">
        <v>158</v>
      </c>
      <c r="F324" t="s">
        <v>5</v>
      </c>
      <c r="G324" s="1" t="s">
        <v>167</v>
      </c>
      <c r="H324">
        <v>1</v>
      </c>
      <c r="I324">
        <v>117.45</v>
      </c>
      <c r="J324" t="s">
        <v>171</v>
      </c>
      <c r="K324" t="str">
        <f>RIGHT(BOMCheck[[#This Row],[CircuitID]])</f>
        <v>2</v>
      </c>
      <c r="L324" s="1">
        <f>SUMIFS(I:I,J:J,BOMCheck[[#This Row],[CitcuitNumber]],H:H,7)</f>
        <v>3</v>
      </c>
      <c r="M324" s="1">
        <f>SUMIFS(I:I,J:J,BOMCheck[[#This Row],[CitcuitNumber]],G:G,"IEK-25-04")</f>
        <v>0</v>
      </c>
      <c r="N324" s="1" t="str" cm="1">
        <f t="array" ref="N324">_xlfn.TEXTJOIN(", ",TRUE,_xlfn.UNIQUE(IF(BOMCheck[[#This Row],[CitcuitNumber]]=J:J,K:K,"")))</f>
        <v>0, 1, 2</v>
      </c>
    </row>
    <row r="325" spans="1:14" x14ac:dyDescent="0.25">
      <c r="A325">
        <v>462</v>
      </c>
      <c r="B325">
        <v>461</v>
      </c>
      <c r="C325">
        <v>461</v>
      </c>
      <c r="D325" s="1" t="s">
        <v>159</v>
      </c>
      <c r="E325" s="1" t="s">
        <v>158</v>
      </c>
      <c r="F325" t="s">
        <v>5</v>
      </c>
      <c r="G325" s="1" t="s">
        <v>44</v>
      </c>
      <c r="H325">
        <v>11</v>
      </c>
      <c r="I325">
        <v>0.6</v>
      </c>
      <c r="J325" t="s">
        <v>171</v>
      </c>
      <c r="K325" t="str">
        <f>RIGHT(BOMCheck[[#This Row],[CircuitID]])</f>
        <v>2</v>
      </c>
      <c r="L325" s="1">
        <f>SUMIFS(I:I,J:J,BOMCheck[[#This Row],[CitcuitNumber]],H:H,7)</f>
        <v>3</v>
      </c>
      <c r="M325" s="1">
        <f>SUMIFS(I:I,J:J,BOMCheck[[#This Row],[CitcuitNumber]],G:G,"IEK-25-04")</f>
        <v>0</v>
      </c>
      <c r="N325" s="1" t="str" cm="1">
        <f t="array" ref="N325">_xlfn.TEXTJOIN(", ",TRUE,_xlfn.UNIQUE(IF(BOMCheck[[#This Row],[CitcuitNumber]]=J:J,K:K,"")))</f>
        <v>0, 1, 2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D2127-31CB-4477-A5E5-1F72D4131729}">
  <sheetPr codeName="Sheet5">
    <tabColor rgb="FFFF0000"/>
  </sheetPr>
  <dimension ref="A1:O55"/>
  <sheetViews>
    <sheetView workbookViewId="0">
      <selection activeCell="J11" sqref="J11"/>
    </sheetView>
  </sheetViews>
  <sheetFormatPr defaultRowHeight="15" x14ac:dyDescent="0.25"/>
  <cols>
    <col min="1" max="1" width="11.28515625" bestFit="1" customWidth="1"/>
    <col min="2" max="2" width="26.5703125" customWidth="1"/>
    <col min="3" max="3" width="15.140625" bestFit="1" customWidth="1"/>
    <col min="4" max="4" width="23.85546875" bestFit="1" customWidth="1"/>
    <col min="5" max="5" width="10.85546875" bestFit="1" customWidth="1"/>
    <col min="6" max="6" width="12.85546875" bestFit="1" customWidth="1"/>
    <col min="7" max="9" width="11.42578125" bestFit="1" customWidth="1"/>
    <col min="10" max="12" width="20" bestFit="1" customWidth="1"/>
    <col min="13" max="13" width="15.7109375" bestFit="1" customWidth="1"/>
  </cols>
  <sheetData>
    <row r="1" spans="1:15" ht="36" customHeight="1" x14ac:dyDescent="0.25">
      <c r="A1" t="s">
        <v>18</v>
      </c>
      <c r="B1" t="s">
        <v>19</v>
      </c>
      <c r="C1" t="s">
        <v>20</v>
      </c>
      <c r="D1" t="s">
        <v>11</v>
      </c>
      <c r="E1" t="s">
        <v>21</v>
      </c>
      <c r="F1" t="s">
        <v>30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40</v>
      </c>
      <c r="O1" t="s">
        <v>39</v>
      </c>
    </row>
    <row r="2" spans="1:15" x14ac:dyDescent="0.25">
      <c r="A2">
        <v>409</v>
      </c>
      <c r="B2">
        <v>0</v>
      </c>
      <c r="C2">
        <v>0</v>
      </c>
      <c r="D2" s="1" t="s">
        <v>59</v>
      </c>
      <c r="E2" s="1" t="s">
        <v>60</v>
      </c>
      <c r="F2" t="s">
        <v>15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 t="e">
        <f>LEFT(CoordsCheck[[#This Row],[CircuitID]],SEARCH("-",CoordsCheck[[#This Row],[CircuitID]])-1)</f>
        <v>#VALUE!</v>
      </c>
      <c r="N2">
        <f>IF(AND(CoordsCheck[[#This Row],[JBCoord1]]=0,CoordsCheck[[#This Row],[JBCoord2]]=0,CoordsCheck[[#This Row],[JBCoord3]]=0),1,0)</f>
        <v>1</v>
      </c>
      <c r="O2" s="1" t="b">
        <f>IF(SUMIF(M:M,CoordsCheck[[#This Row],[CicuitNumber]],N:N)/COUNTIF(M:M,CoordsCheck[[#This Row],[CicuitNumber]])&lt;&gt;1,"",FALSE)</f>
        <v>0</v>
      </c>
    </row>
    <row r="3" spans="1:15" x14ac:dyDescent="0.25">
      <c r="A3">
        <v>410</v>
      </c>
      <c r="B3">
        <v>0</v>
      </c>
      <c r="C3">
        <v>0</v>
      </c>
      <c r="D3" s="1" t="s">
        <v>62</v>
      </c>
      <c r="E3" s="1" t="s">
        <v>63</v>
      </c>
      <c r="F3" t="s">
        <v>15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 t="e">
        <f>LEFT(CoordsCheck[[#This Row],[CircuitID]],SEARCH("-",CoordsCheck[[#This Row],[CircuitID]])-1)</f>
        <v>#VALUE!</v>
      </c>
      <c r="N3">
        <f>IF(AND(CoordsCheck[[#This Row],[JBCoord1]]=0,CoordsCheck[[#This Row],[JBCoord2]]=0,CoordsCheck[[#This Row],[JBCoord3]]=0),1,0)</f>
        <v>1</v>
      </c>
      <c r="O3" s="1" t="b">
        <f>IF(SUMIF(M:M,CoordsCheck[[#This Row],[CicuitNumber]],N:N)/COUNTIF(M:M,CoordsCheck[[#This Row],[CicuitNumber]])&lt;&gt;1,"",FALSE)</f>
        <v>0</v>
      </c>
    </row>
    <row r="4" spans="1:15" x14ac:dyDescent="0.25">
      <c r="A4">
        <v>411</v>
      </c>
      <c r="B4">
        <v>0</v>
      </c>
      <c r="C4">
        <v>0</v>
      </c>
      <c r="D4" s="1" t="s">
        <v>64</v>
      </c>
      <c r="E4" s="1" t="s">
        <v>65</v>
      </c>
      <c r="F4" t="s">
        <v>15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 t="e">
        <f>LEFT(CoordsCheck[[#This Row],[CircuitID]],SEARCH("-",CoordsCheck[[#This Row],[CircuitID]])-1)</f>
        <v>#VALUE!</v>
      </c>
      <c r="N4">
        <f>IF(AND(CoordsCheck[[#This Row],[JBCoord1]]=0,CoordsCheck[[#This Row],[JBCoord2]]=0,CoordsCheck[[#This Row],[JBCoord3]]=0),1,0)</f>
        <v>1</v>
      </c>
      <c r="O4" s="1" t="b">
        <f>IF(SUMIF(M:M,CoordsCheck[[#This Row],[CicuitNumber]],N:N)/COUNTIF(M:M,CoordsCheck[[#This Row],[CicuitNumber]])&lt;&gt;1,"",FALSE)</f>
        <v>0</v>
      </c>
    </row>
    <row r="5" spans="1:15" x14ac:dyDescent="0.25">
      <c r="A5">
        <v>412</v>
      </c>
      <c r="B5">
        <v>0</v>
      </c>
      <c r="C5">
        <v>0</v>
      </c>
      <c r="D5" s="1" t="s">
        <v>66</v>
      </c>
      <c r="E5" s="1" t="s">
        <v>67</v>
      </c>
      <c r="F5" t="s">
        <v>15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t="e">
        <f>LEFT(CoordsCheck[[#This Row],[CircuitID]],SEARCH("-",CoordsCheck[[#This Row],[CircuitID]])-1)</f>
        <v>#VALUE!</v>
      </c>
      <c r="N5">
        <f>IF(AND(CoordsCheck[[#This Row],[JBCoord1]]=0,CoordsCheck[[#This Row],[JBCoord2]]=0,CoordsCheck[[#This Row],[JBCoord3]]=0),1,0)</f>
        <v>1</v>
      </c>
      <c r="O5" s="1" t="b">
        <f>IF(SUMIF(M:M,CoordsCheck[[#This Row],[CicuitNumber]],N:N)/COUNTIF(M:M,CoordsCheck[[#This Row],[CicuitNumber]])&lt;&gt;1,"",FALSE)</f>
        <v>0</v>
      </c>
    </row>
    <row r="6" spans="1:15" x14ac:dyDescent="0.25">
      <c r="A6">
        <v>413</v>
      </c>
      <c r="B6">
        <v>0</v>
      </c>
      <c r="C6">
        <v>0</v>
      </c>
      <c r="D6" s="1" t="s">
        <v>68</v>
      </c>
      <c r="E6" s="1" t="s">
        <v>69</v>
      </c>
      <c r="F6" t="s">
        <v>15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t="e">
        <f>LEFT(CoordsCheck[[#This Row],[CircuitID]],SEARCH("-",CoordsCheck[[#This Row],[CircuitID]])-1)</f>
        <v>#VALUE!</v>
      </c>
      <c r="N6">
        <f>IF(AND(CoordsCheck[[#This Row],[JBCoord1]]=0,CoordsCheck[[#This Row],[JBCoord2]]=0,CoordsCheck[[#This Row],[JBCoord3]]=0),1,0)</f>
        <v>1</v>
      </c>
      <c r="O6" s="1" t="b">
        <f>IF(SUMIF(M:M,CoordsCheck[[#This Row],[CicuitNumber]],N:N)/COUNTIF(M:M,CoordsCheck[[#This Row],[CicuitNumber]])&lt;&gt;1,"",FALSE)</f>
        <v>0</v>
      </c>
    </row>
    <row r="7" spans="1:15" x14ac:dyDescent="0.25">
      <c r="A7">
        <v>414</v>
      </c>
      <c r="B7">
        <v>0</v>
      </c>
      <c r="C7">
        <v>0</v>
      </c>
      <c r="D7" s="1" t="s">
        <v>70</v>
      </c>
      <c r="E7" s="1" t="s">
        <v>71</v>
      </c>
      <c r="F7" t="s">
        <v>15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 t="e">
        <f>LEFT(CoordsCheck[[#This Row],[CircuitID]],SEARCH("-",CoordsCheck[[#This Row],[CircuitID]])-1)</f>
        <v>#VALUE!</v>
      </c>
      <c r="N7">
        <f>IF(AND(CoordsCheck[[#This Row],[JBCoord1]]=0,CoordsCheck[[#This Row],[JBCoord2]]=0,CoordsCheck[[#This Row],[JBCoord3]]=0),1,0)</f>
        <v>1</v>
      </c>
      <c r="O7" s="1" t="b">
        <f>IF(SUMIF(M:M,CoordsCheck[[#This Row],[CicuitNumber]],N:N)/COUNTIF(M:M,CoordsCheck[[#This Row],[CicuitNumber]])&lt;&gt;1,"",FALSE)</f>
        <v>0</v>
      </c>
    </row>
    <row r="8" spans="1:15" x14ac:dyDescent="0.25">
      <c r="A8">
        <v>415</v>
      </c>
      <c r="B8">
        <v>0</v>
      </c>
      <c r="C8">
        <v>0</v>
      </c>
      <c r="D8" s="1" t="s">
        <v>72</v>
      </c>
      <c r="E8" s="1" t="s">
        <v>73</v>
      </c>
      <c r="F8" t="s">
        <v>15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 t="e">
        <f>LEFT(CoordsCheck[[#This Row],[CircuitID]],SEARCH("-",CoordsCheck[[#This Row],[CircuitID]])-1)</f>
        <v>#VALUE!</v>
      </c>
      <c r="N8">
        <f>IF(AND(CoordsCheck[[#This Row],[JBCoord1]]=0,CoordsCheck[[#This Row],[JBCoord2]]=0,CoordsCheck[[#This Row],[JBCoord3]]=0),1,0)</f>
        <v>1</v>
      </c>
      <c r="O8" s="1" t="b">
        <f>IF(SUMIF(M:M,CoordsCheck[[#This Row],[CicuitNumber]],N:N)/COUNTIF(M:M,CoordsCheck[[#This Row],[CicuitNumber]])&lt;&gt;1,"",FALSE)</f>
        <v>0</v>
      </c>
    </row>
    <row r="9" spans="1:15" x14ac:dyDescent="0.25">
      <c r="A9">
        <v>416</v>
      </c>
      <c r="B9">
        <v>0</v>
      </c>
      <c r="C9">
        <v>0</v>
      </c>
      <c r="D9" s="1" t="s">
        <v>74</v>
      </c>
      <c r="E9" s="1" t="s">
        <v>75</v>
      </c>
      <c r="F9" t="s">
        <v>15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e">
        <f>LEFT(CoordsCheck[[#This Row],[CircuitID]],SEARCH("-",CoordsCheck[[#This Row],[CircuitID]])-1)</f>
        <v>#VALUE!</v>
      </c>
      <c r="N9">
        <f>IF(AND(CoordsCheck[[#This Row],[JBCoord1]]=0,CoordsCheck[[#This Row],[JBCoord2]]=0,CoordsCheck[[#This Row],[JBCoord3]]=0),1,0)</f>
        <v>1</v>
      </c>
      <c r="O9" s="1" t="b">
        <f>IF(SUMIF(M:M,CoordsCheck[[#This Row],[CicuitNumber]],N:N)/COUNTIF(M:M,CoordsCheck[[#This Row],[CicuitNumber]])&lt;&gt;1,"",FALSE)</f>
        <v>0</v>
      </c>
    </row>
    <row r="10" spans="1:15" x14ac:dyDescent="0.25">
      <c r="A10">
        <v>417</v>
      </c>
      <c r="B10">
        <v>0</v>
      </c>
      <c r="C10">
        <v>0</v>
      </c>
      <c r="D10" s="1" t="s">
        <v>76</v>
      </c>
      <c r="E10" s="1" t="s">
        <v>77</v>
      </c>
      <c r="F10" t="s">
        <v>15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t="e">
        <f>LEFT(CoordsCheck[[#This Row],[CircuitID]],SEARCH("-",CoordsCheck[[#This Row],[CircuitID]])-1)</f>
        <v>#VALUE!</v>
      </c>
      <c r="N10">
        <f>IF(AND(CoordsCheck[[#This Row],[JBCoord1]]=0,CoordsCheck[[#This Row],[JBCoord2]]=0,CoordsCheck[[#This Row],[JBCoord3]]=0),1,0)</f>
        <v>1</v>
      </c>
      <c r="O10" s="1" t="b">
        <f>IF(SUMIF(M:M,CoordsCheck[[#This Row],[CicuitNumber]],N:N)/COUNTIF(M:M,CoordsCheck[[#This Row],[CicuitNumber]])&lt;&gt;1,"",FALSE)</f>
        <v>0</v>
      </c>
    </row>
    <row r="11" spans="1:15" x14ac:dyDescent="0.25">
      <c r="A11">
        <v>418</v>
      </c>
      <c r="B11">
        <v>0</v>
      </c>
      <c r="C11">
        <v>0</v>
      </c>
      <c r="D11" s="1" t="s">
        <v>78</v>
      </c>
      <c r="E11" s="1" t="s">
        <v>79</v>
      </c>
      <c r="F11" t="s">
        <v>15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 t="e">
        <f>LEFT(CoordsCheck[[#This Row],[CircuitID]],SEARCH("-",CoordsCheck[[#This Row],[CircuitID]])-1)</f>
        <v>#VALUE!</v>
      </c>
      <c r="N11">
        <f>IF(AND(CoordsCheck[[#This Row],[JBCoord1]]=0,CoordsCheck[[#This Row],[JBCoord2]]=0,CoordsCheck[[#This Row],[JBCoord3]]=0),1,0)</f>
        <v>1</v>
      </c>
      <c r="O11" s="1" t="b">
        <f>IF(SUMIF(M:M,CoordsCheck[[#This Row],[CicuitNumber]],N:N)/COUNTIF(M:M,CoordsCheck[[#This Row],[CicuitNumber]])&lt;&gt;1,"",FALSE)</f>
        <v>0</v>
      </c>
    </row>
    <row r="12" spans="1:15" x14ac:dyDescent="0.25">
      <c r="A12">
        <v>419</v>
      </c>
      <c r="B12">
        <v>0</v>
      </c>
      <c r="C12">
        <v>0</v>
      </c>
      <c r="D12" s="1" t="s">
        <v>80</v>
      </c>
      <c r="E12" s="1" t="s">
        <v>81</v>
      </c>
      <c r="F12" t="s">
        <v>15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 t="e">
        <f>LEFT(CoordsCheck[[#This Row],[CircuitID]],SEARCH("-",CoordsCheck[[#This Row],[CircuitID]])-1)</f>
        <v>#VALUE!</v>
      </c>
      <c r="N12">
        <f>IF(AND(CoordsCheck[[#This Row],[JBCoord1]]=0,CoordsCheck[[#This Row],[JBCoord2]]=0,CoordsCheck[[#This Row],[JBCoord3]]=0),1,0)</f>
        <v>1</v>
      </c>
      <c r="O12" s="1" t="b">
        <f>IF(SUMIF(M:M,CoordsCheck[[#This Row],[CicuitNumber]],N:N)/COUNTIF(M:M,CoordsCheck[[#This Row],[CicuitNumber]])&lt;&gt;1,"",FALSE)</f>
        <v>0</v>
      </c>
    </row>
    <row r="13" spans="1:15" x14ac:dyDescent="0.25">
      <c r="A13">
        <v>420</v>
      </c>
      <c r="B13">
        <v>0</v>
      </c>
      <c r="C13">
        <v>0</v>
      </c>
      <c r="D13" s="1" t="s">
        <v>82</v>
      </c>
      <c r="E13" s="1" t="s">
        <v>83</v>
      </c>
      <c r="F13" t="s">
        <v>15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t="e">
        <f>LEFT(CoordsCheck[[#This Row],[CircuitID]],SEARCH("-",CoordsCheck[[#This Row],[CircuitID]])-1)</f>
        <v>#VALUE!</v>
      </c>
      <c r="N13">
        <f>IF(AND(CoordsCheck[[#This Row],[JBCoord1]]=0,CoordsCheck[[#This Row],[JBCoord2]]=0,CoordsCheck[[#This Row],[JBCoord3]]=0),1,0)</f>
        <v>1</v>
      </c>
      <c r="O13" s="1" t="b">
        <f>IF(SUMIF(M:M,CoordsCheck[[#This Row],[CicuitNumber]],N:N)/COUNTIF(M:M,CoordsCheck[[#This Row],[CicuitNumber]])&lt;&gt;1,"",FALSE)</f>
        <v>0</v>
      </c>
    </row>
    <row r="14" spans="1:15" x14ac:dyDescent="0.25">
      <c r="A14">
        <v>421</v>
      </c>
      <c r="B14">
        <v>0</v>
      </c>
      <c r="C14">
        <v>0</v>
      </c>
      <c r="D14" s="1" t="s">
        <v>84</v>
      </c>
      <c r="E14" s="1" t="s">
        <v>85</v>
      </c>
      <c r="F14" t="s">
        <v>15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 t="e">
        <f>LEFT(CoordsCheck[[#This Row],[CircuitID]],SEARCH("-",CoordsCheck[[#This Row],[CircuitID]])-1)</f>
        <v>#VALUE!</v>
      </c>
      <c r="N14">
        <f>IF(AND(CoordsCheck[[#This Row],[JBCoord1]]=0,CoordsCheck[[#This Row],[JBCoord2]]=0,CoordsCheck[[#This Row],[JBCoord3]]=0),1,0)</f>
        <v>1</v>
      </c>
      <c r="O14" s="1" t="b">
        <f>IF(SUMIF(M:M,CoordsCheck[[#This Row],[CicuitNumber]],N:N)/COUNTIF(M:M,CoordsCheck[[#This Row],[CicuitNumber]])&lt;&gt;1,"",FALSE)</f>
        <v>0</v>
      </c>
    </row>
    <row r="15" spans="1:15" x14ac:dyDescent="0.25">
      <c r="A15">
        <v>422</v>
      </c>
      <c r="B15">
        <v>0</v>
      </c>
      <c r="C15">
        <v>0</v>
      </c>
      <c r="D15" s="1" t="s">
        <v>86</v>
      </c>
      <c r="E15" s="1" t="s">
        <v>87</v>
      </c>
      <c r="F15" t="s">
        <v>15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 t="e">
        <f>LEFT(CoordsCheck[[#This Row],[CircuitID]],SEARCH("-",CoordsCheck[[#This Row],[CircuitID]])-1)</f>
        <v>#VALUE!</v>
      </c>
      <c r="N15">
        <f>IF(AND(CoordsCheck[[#This Row],[JBCoord1]]=0,CoordsCheck[[#This Row],[JBCoord2]]=0,CoordsCheck[[#This Row],[JBCoord3]]=0),1,0)</f>
        <v>1</v>
      </c>
      <c r="O15" s="1" t="b">
        <f>IF(SUMIF(M:M,CoordsCheck[[#This Row],[CicuitNumber]],N:N)/COUNTIF(M:M,CoordsCheck[[#This Row],[CicuitNumber]])&lt;&gt;1,"",FALSE)</f>
        <v>0</v>
      </c>
    </row>
    <row r="16" spans="1:15" x14ac:dyDescent="0.25">
      <c r="A16">
        <v>423</v>
      </c>
      <c r="B16">
        <v>0</v>
      </c>
      <c r="C16">
        <v>0</v>
      </c>
      <c r="D16" s="1" t="s">
        <v>88</v>
      </c>
      <c r="E16" s="1" t="s">
        <v>89</v>
      </c>
      <c r="F16" t="s">
        <v>15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t="e">
        <f>LEFT(CoordsCheck[[#This Row],[CircuitID]],SEARCH("-",CoordsCheck[[#This Row],[CircuitID]])-1)</f>
        <v>#VALUE!</v>
      </c>
      <c r="N16">
        <f>IF(AND(CoordsCheck[[#This Row],[JBCoord1]]=0,CoordsCheck[[#This Row],[JBCoord2]]=0,CoordsCheck[[#This Row],[JBCoord3]]=0),1,0)</f>
        <v>1</v>
      </c>
      <c r="O16" s="1" t="b">
        <f>IF(SUMIF(M:M,CoordsCheck[[#This Row],[CicuitNumber]],N:N)/COUNTIF(M:M,CoordsCheck[[#This Row],[CicuitNumber]])&lt;&gt;1,"",FALSE)</f>
        <v>0</v>
      </c>
    </row>
    <row r="17" spans="1:15" x14ac:dyDescent="0.25">
      <c r="A17">
        <v>424</v>
      </c>
      <c r="B17">
        <v>0</v>
      </c>
      <c r="C17">
        <v>0</v>
      </c>
      <c r="D17" s="1" t="s">
        <v>90</v>
      </c>
      <c r="E17" s="1" t="s">
        <v>91</v>
      </c>
      <c r="F17" t="s">
        <v>15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 t="e">
        <f>LEFT(CoordsCheck[[#This Row],[CircuitID]],SEARCH("-",CoordsCheck[[#This Row],[CircuitID]])-1)</f>
        <v>#VALUE!</v>
      </c>
      <c r="N17">
        <f>IF(AND(CoordsCheck[[#This Row],[JBCoord1]]=0,CoordsCheck[[#This Row],[JBCoord2]]=0,CoordsCheck[[#This Row],[JBCoord3]]=0),1,0)</f>
        <v>1</v>
      </c>
      <c r="O17" s="1" t="b">
        <f>IF(SUMIF(M:M,CoordsCheck[[#This Row],[CicuitNumber]],N:N)/COUNTIF(M:M,CoordsCheck[[#This Row],[CicuitNumber]])&lt;&gt;1,"",FALSE)</f>
        <v>0</v>
      </c>
    </row>
    <row r="18" spans="1:15" x14ac:dyDescent="0.25">
      <c r="A18">
        <v>425</v>
      </c>
      <c r="B18">
        <v>0</v>
      </c>
      <c r="C18">
        <v>0</v>
      </c>
      <c r="D18" s="1" t="s">
        <v>92</v>
      </c>
      <c r="E18" s="1" t="s">
        <v>93</v>
      </c>
      <c r="F18" t="s">
        <v>15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 t="e">
        <f>LEFT(CoordsCheck[[#This Row],[CircuitID]],SEARCH("-",CoordsCheck[[#This Row],[CircuitID]])-1)</f>
        <v>#VALUE!</v>
      </c>
      <c r="N18">
        <f>IF(AND(CoordsCheck[[#This Row],[JBCoord1]]=0,CoordsCheck[[#This Row],[JBCoord2]]=0,CoordsCheck[[#This Row],[JBCoord3]]=0),1,0)</f>
        <v>1</v>
      </c>
      <c r="O18" s="1" t="b">
        <f>IF(SUMIF(M:M,CoordsCheck[[#This Row],[CicuitNumber]],N:N)/COUNTIF(M:M,CoordsCheck[[#This Row],[CicuitNumber]])&lt;&gt;1,"",FALSE)</f>
        <v>0</v>
      </c>
    </row>
    <row r="19" spans="1:15" x14ac:dyDescent="0.25">
      <c r="A19">
        <v>426</v>
      </c>
      <c r="B19">
        <v>0</v>
      </c>
      <c r="C19">
        <v>0</v>
      </c>
      <c r="D19" s="1" t="s">
        <v>94</v>
      </c>
      <c r="E19" s="1" t="s">
        <v>95</v>
      </c>
      <c r="F19" t="s">
        <v>15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 t="e">
        <f>LEFT(CoordsCheck[[#This Row],[CircuitID]],SEARCH("-",CoordsCheck[[#This Row],[CircuitID]])-1)</f>
        <v>#VALUE!</v>
      </c>
      <c r="N19">
        <f>IF(AND(CoordsCheck[[#This Row],[JBCoord1]]=0,CoordsCheck[[#This Row],[JBCoord2]]=0,CoordsCheck[[#This Row],[JBCoord3]]=0),1,0)</f>
        <v>1</v>
      </c>
      <c r="O19" s="1" t="b">
        <f>IF(SUMIF(M:M,CoordsCheck[[#This Row],[CicuitNumber]],N:N)/COUNTIF(M:M,CoordsCheck[[#This Row],[CicuitNumber]])&lt;&gt;1,"",FALSE)</f>
        <v>0</v>
      </c>
    </row>
    <row r="20" spans="1:15" x14ac:dyDescent="0.25">
      <c r="A20">
        <v>427</v>
      </c>
      <c r="B20">
        <v>0</v>
      </c>
      <c r="C20">
        <v>0</v>
      </c>
      <c r="D20" s="1" t="s">
        <v>96</v>
      </c>
      <c r="E20" s="1" t="s">
        <v>97</v>
      </c>
      <c r="F20" t="s">
        <v>15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 t="e">
        <f>LEFT(CoordsCheck[[#This Row],[CircuitID]],SEARCH("-",CoordsCheck[[#This Row],[CircuitID]])-1)</f>
        <v>#VALUE!</v>
      </c>
      <c r="N20">
        <f>IF(AND(CoordsCheck[[#This Row],[JBCoord1]]=0,CoordsCheck[[#This Row],[JBCoord2]]=0,CoordsCheck[[#This Row],[JBCoord3]]=0),1,0)</f>
        <v>1</v>
      </c>
      <c r="O20" s="1" t="b">
        <f>IF(SUMIF(M:M,CoordsCheck[[#This Row],[CicuitNumber]],N:N)/COUNTIF(M:M,CoordsCheck[[#This Row],[CicuitNumber]])&lt;&gt;1,"",FALSE)</f>
        <v>0</v>
      </c>
    </row>
    <row r="21" spans="1:15" x14ac:dyDescent="0.25">
      <c r="A21">
        <v>428</v>
      </c>
      <c r="B21">
        <v>0</v>
      </c>
      <c r="C21">
        <v>0</v>
      </c>
      <c r="D21" s="1" t="s">
        <v>98</v>
      </c>
      <c r="E21" s="1" t="s">
        <v>99</v>
      </c>
      <c r="F21" t="s">
        <v>15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 t="e">
        <f>LEFT(CoordsCheck[[#This Row],[CircuitID]],SEARCH("-",CoordsCheck[[#This Row],[CircuitID]])-1)</f>
        <v>#VALUE!</v>
      </c>
      <c r="N21">
        <f>IF(AND(CoordsCheck[[#This Row],[JBCoord1]]=0,CoordsCheck[[#This Row],[JBCoord2]]=0,CoordsCheck[[#This Row],[JBCoord3]]=0),1,0)</f>
        <v>1</v>
      </c>
      <c r="O21" s="1" t="b">
        <f>IF(SUMIF(M:M,CoordsCheck[[#This Row],[CicuitNumber]],N:N)/COUNTIF(M:M,CoordsCheck[[#This Row],[CicuitNumber]])&lt;&gt;1,"",FALSE)</f>
        <v>0</v>
      </c>
    </row>
    <row r="22" spans="1:15" x14ac:dyDescent="0.25">
      <c r="A22">
        <v>429</v>
      </c>
      <c r="B22">
        <v>0</v>
      </c>
      <c r="C22">
        <v>0</v>
      </c>
      <c r="D22" s="1" t="s">
        <v>100</v>
      </c>
      <c r="E22" s="1" t="s">
        <v>101</v>
      </c>
      <c r="F22" t="s">
        <v>15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 t="e">
        <f>LEFT(CoordsCheck[[#This Row],[CircuitID]],SEARCH("-",CoordsCheck[[#This Row],[CircuitID]])-1)</f>
        <v>#VALUE!</v>
      </c>
      <c r="N22">
        <f>IF(AND(CoordsCheck[[#This Row],[JBCoord1]]=0,CoordsCheck[[#This Row],[JBCoord2]]=0,CoordsCheck[[#This Row],[JBCoord3]]=0),1,0)</f>
        <v>1</v>
      </c>
      <c r="O22" s="1" t="b">
        <f>IF(SUMIF(M:M,CoordsCheck[[#This Row],[CicuitNumber]],N:N)/COUNTIF(M:M,CoordsCheck[[#This Row],[CicuitNumber]])&lt;&gt;1,"",FALSE)</f>
        <v>0</v>
      </c>
    </row>
    <row r="23" spans="1:15" x14ac:dyDescent="0.25">
      <c r="A23">
        <v>430</v>
      </c>
      <c r="B23">
        <v>0</v>
      </c>
      <c r="C23">
        <v>0</v>
      </c>
      <c r="D23" s="1" t="s">
        <v>102</v>
      </c>
      <c r="E23" s="1" t="s">
        <v>103</v>
      </c>
      <c r="F23" t="s">
        <v>15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 t="e">
        <f>LEFT(CoordsCheck[[#This Row],[CircuitID]],SEARCH("-",CoordsCheck[[#This Row],[CircuitID]])-1)</f>
        <v>#VALUE!</v>
      </c>
      <c r="N23">
        <f>IF(AND(CoordsCheck[[#This Row],[JBCoord1]]=0,CoordsCheck[[#This Row],[JBCoord2]]=0,CoordsCheck[[#This Row],[JBCoord3]]=0),1,0)</f>
        <v>1</v>
      </c>
      <c r="O23" s="1" t="b">
        <f>IF(SUMIF(M:M,CoordsCheck[[#This Row],[CicuitNumber]],N:N)/COUNTIF(M:M,CoordsCheck[[#This Row],[CicuitNumber]])&lt;&gt;1,"",FALSE)</f>
        <v>0</v>
      </c>
    </row>
    <row r="24" spans="1:15" x14ac:dyDescent="0.25">
      <c r="A24">
        <v>431</v>
      </c>
      <c r="B24">
        <v>0</v>
      </c>
      <c r="C24">
        <v>0</v>
      </c>
      <c r="D24" s="1" t="s">
        <v>104</v>
      </c>
      <c r="E24" s="1" t="s">
        <v>105</v>
      </c>
      <c r="F24" t="s">
        <v>15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 t="e">
        <f>LEFT(CoordsCheck[[#This Row],[CircuitID]],SEARCH("-",CoordsCheck[[#This Row],[CircuitID]])-1)</f>
        <v>#VALUE!</v>
      </c>
      <c r="N24">
        <f>IF(AND(CoordsCheck[[#This Row],[JBCoord1]]=0,CoordsCheck[[#This Row],[JBCoord2]]=0,CoordsCheck[[#This Row],[JBCoord3]]=0),1,0)</f>
        <v>1</v>
      </c>
      <c r="O24" s="1" t="b">
        <f>IF(SUMIF(M:M,CoordsCheck[[#This Row],[CicuitNumber]],N:N)/COUNTIF(M:M,CoordsCheck[[#This Row],[CicuitNumber]])&lt;&gt;1,"",FALSE)</f>
        <v>0</v>
      </c>
    </row>
    <row r="25" spans="1:15" x14ac:dyDescent="0.25">
      <c r="A25">
        <v>432</v>
      </c>
      <c r="B25">
        <v>0</v>
      </c>
      <c r="C25">
        <v>0</v>
      </c>
      <c r="D25" s="1" t="s">
        <v>106</v>
      </c>
      <c r="E25" s="1" t="s">
        <v>107</v>
      </c>
      <c r="F25" t="s">
        <v>15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 t="e">
        <f>LEFT(CoordsCheck[[#This Row],[CircuitID]],SEARCH("-",CoordsCheck[[#This Row],[CircuitID]])-1)</f>
        <v>#VALUE!</v>
      </c>
      <c r="N25">
        <f>IF(AND(CoordsCheck[[#This Row],[JBCoord1]]=0,CoordsCheck[[#This Row],[JBCoord2]]=0,CoordsCheck[[#This Row],[JBCoord3]]=0),1,0)</f>
        <v>1</v>
      </c>
      <c r="O25" s="1" t="b">
        <f>IF(SUMIF(M:M,CoordsCheck[[#This Row],[CicuitNumber]],N:N)/COUNTIF(M:M,CoordsCheck[[#This Row],[CicuitNumber]])&lt;&gt;1,"",FALSE)</f>
        <v>0</v>
      </c>
    </row>
    <row r="26" spans="1:15" x14ac:dyDescent="0.25">
      <c r="A26">
        <v>433</v>
      </c>
      <c r="B26">
        <v>0</v>
      </c>
      <c r="C26">
        <v>0</v>
      </c>
      <c r="D26" s="1" t="s">
        <v>108</v>
      </c>
      <c r="E26" s="1" t="s">
        <v>109</v>
      </c>
      <c r="F26" t="s">
        <v>15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t="e">
        <f>LEFT(CoordsCheck[[#This Row],[CircuitID]],SEARCH("-",CoordsCheck[[#This Row],[CircuitID]])-1)</f>
        <v>#VALUE!</v>
      </c>
      <c r="N26">
        <f>IF(AND(CoordsCheck[[#This Row],[JBCoord1]]=0,CoordsCheck[[#This Row],[JBCoord2]]=0,CoordsCheck[[#This Row],[JBCoord3]]=0),1,0)</f>
        <v>1</v>
      </c>
      <c r="O26" s="1" t="b">
        <f>IF(SUMIF(M:M,CoordsCheck[[#This Row],[CicuitNumber]],N:N)/COUNTIF(M:M,CoordsCheck[[#This Row],[CicuitNumber]])&lt;&gt;1,"",FALSE)</f>
        <v>0</v>
      </c>
    </row>
    <row r="27" spans="1:15" x14ac:dyDescent="0.25">
      <c r="A27">
        <v>434</v>
      </c>
      <c r="B27">
        <v>0</v>
      </c>
      <c r="C27">
        <v>0</v>
      </c>
      <c r="D27" s="1" t="s">
        <v>110</v>
      </c>
      <c r="E27" s="1" t="s">
        <v>111</v>
      </c>
      <c r="F27" t="s">
        <v>15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t="e">
        <f>LEFT(CoordsCheck[[#This Row],[CircuitID]],SEARCH("-",CoordsCheck[[#This Row],[CircuitID]])-1)</f>
        <v>#VALUE!</v>
      </c>
      <c r="N27">
        <f>IF(AND(CoordsCheck[[#This Row],[JBCoord1]]=0,CoordsCheck[[#This Row],[JBCoord2]]=0,CoordsCheck[[#This Row],[JBCoord3]]=0),1,0)</f>
        <v>1</v>
      </c>
      <c r="O27" s="1" t="b">
        <f>IF(SUMIF(M:M,CoordsCheck[[#This Row],[CicuitNumber]],N:N)/COUNTIF(M:M,CoordsCheck[[#This Row],[CicuitNumber]])&lt;&gt;1,"",FALSE)</f>
        <v>0</v>
      </c>
    </row>
    <row r="28" spans="1:15" x14ac:dyDescent="0.25">
      <c r="A28">
        <v>435</v>
      </c>
      <c r="B28">
        <v>0</v>
      </c>
      <c r="C28">
        <v>0</v>
      </c>
      <c r="D28" s="1" t="s">
        <v>110</v>
      </c>
      <c r="E28" s="1" t="s">
        <v>112</v>
      </c>
      <c r="F28" t="s">
        <v>15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t="e">
        <f>LEFT(CoordsCheck[[#This Row],[CircuitID]],SEARCH("-",CoordsCheck[[#This Row],[CircuitID]])-1)</f>
        <v>#VALUE!</v>
      </c>
      <c r="N28">
        <f>IF(AND(CoordsCheck[[#This Row],[JBCoord1]]=0,CoordsCheck[[#This Row],[JBCoord2]]=0,CoordsCheck[[#This Row],[JBCoord3]]=0),1,0)</f>
        <v>1</v>
      </c>
      <c r="O28" s="1" t="b">
        <f>IF(SUMIF(M:M,CoordsCheck[[#This Row],[CicuitNumber]],N:N)/COUNTIF(M:M,CoordsCheck[[#This Row],[CicuitNumber]])&lt;&gt;1,"",FALSE)</f>
        <v>0</v>
      </c>
    </row>
    <row r="29" spans="1:15" x14ac:dyDescent="0.25">
      <c r="A29">
        <v>436</v>
      </c>
      <c r="B29">
        <v>0</v>
      </c>
      <c r="C29">
        <v>0</v>
      </c>
      <c r="D29" s="1" t="s">
        <v>113</v>
      </c>
      <c r="E29" s="1" t="s">
        <v>114</v>
      </c>
      <c r="F29" t="s">
        <v>15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 t="e">
        <f>LEFT(CoordsCheck[[#This Row],[CircuitID]],SEARCH("-",CoordsCheck[[#This Row],[CircuitID]])-1)</f>
        <v>#VALUE!</v>
      </c>
      <c r="N29">
        <f>IF(AND(CoordsCheck[[#This Row],[JBCoord1]]=0,CoordsCheck[[#This Row],[JBCoord2]]=0,CoordsCheck[[#This Row],[JBCoord3]]=0),1,0)</f>
        <v>1</v>
      </c>
      <c r="O29" s="1" t="b">
        <f>IF(SUMIF(M:M,CoordsCheck[[#This Row],[CicuitNumber]],N:N)/COUNTIF(M:M,CoordsCheck[[#This Row],[CicuitNumber]])&lt;&gt;1,"",FALSE)</f>
        <v>0</v>
      </c>
    </row>
    <row r="30" spans="1:15" x14ac:dyDescent="0.25">
      <c r="A30">
        <v>437</v>
      </c>
      <c r="B30">
        <v>0</v>
      </c>
      <c r="C30">
        <v>0</v>
      </c>
      <c r="D30" s="1" t="s">
        <v>115</v>
      </c>
      <c r="E30" s="1" t="s">
        <v>116</v>
      </c>
      <c r="F30" t="s">
        <v>15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 t="e">
        <f>LEFT(CoordsCheck[[#This Row],[CircuitID]],SEARCH("-",CoordsCheck[[#This Row],[CircuitID]])-1)</f>
        <v>#VALUE!</v>
      </c>
      <c r="N30">
        <f>IF(AND(CoordsCheck[[#This Row],[JBCoord1]]=0,CoordsCheck[[#This Row],[JBCoord2]]=0,CoordsCheck[[#This Row],[JBCoord3]]=0),1,0)</f>
        <v>1</v>
      </c>
      <c r="O30" s="1" t="b">
        <f>IF(SUMIF(M:M,CoordsCheck[[#This Row],[CicuitNumber]],N:N)/COUNTIF(M:M,CoordsCheck[[#This Row],[CicuitNumber]])&lt;&gt;1,"",FALSE)</f>
        <v>0</v>
      </c>
    </row>
    <row r="31" spans="1:15" x14ac:dyDescent="0.25">
      <c r="A31">
        <v>438</v>
      </c>
      <c r="B31">
        <v>0</v>
      </c>
      <c r="C31">
        <v>0</v>
      </c>
      <c r="D31" s="1" t="s">
        <v>117</v>
      </c>
      <c r="E31" s="1" t="s">
        <v>118</v>
      </c>
      <c r="F31" t="s">
        <v>15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 t="e">
        <f>LEFT(CoordsCheck[[#This Row],[CircuitID]],SEARCH("-",CoordsCheck[[#This Row],[CircuitID]])-1)</f>
        <v>#VALUE!</v>
      </c>
      <c r="N31">
        <f>IF(AND(CoordsCheck[[#This Row],[JBCoord1]]=0,CoordsCheck[[#This Row],[JBCoord2]]=0,CoordsCheck[[#This Row],[JBCoord3]]=0),1,0)</f>
        <v>1</v>
      </c>
      <c r="O31" s="1" t="b">
        <f>IF(SUMIF(M:M,CoordsCheck[[#This Row],[CicuitNumber]],N:N)/COUNTIF(M:M,CoordsCheck[[#This Row],[CicuitNumber]])&lt;&gt;1,"",FALSE)</f>
        <v>0</v>
      </c>
    </row>
    <row r="32" spans="1:15" x14ac:dyDescent="0.25">
      <c r="A32">
        <v>439</v>
      </c>
      <c r="B32">
        <v>0</v>
      </c>
      <c r="C32">
        <v>0</v>
      </c>
      <c r="D32" s="1" t="s">
        <v>119</v>
      </c>
      <c r="E32" s="1" t="s">
        <v>120</v>
      </c>
      <c r="F32" t="s">
        <v>15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 t="e">
        <f>LEFT(CoordsCheck[[#This Row],[CircuitID]],SEARCH("-",CoordsCheck[[#This Row],[CircuitID]])-1)</f>
        <v>#VALUE!</v>
      </c>
      <c r="N32">
        <f>IF(AND(CoordsCheck[[#This Row],[JBCoord1]]=0,CoordsCheck[[#This Row],[JBCoord2]]=0,CoordsCheck[[#This Row],[JBCoord3]]=0),1,0)</f>
        <v>1</v>
      </c>
      <c r="O32" s="1" t="b">
        <f>IF(SUMIF(M:M,CoordsCheck[[#This Row],[CicuitNumber]],N:N)/COUNTIF(M:M,CoordsCheck[[#This Row],[CicuitNumber]])&lt;&gt;1,"",FALSE)</f>
        <v>0</v>
      </c>
    </row>
    <row r="33" spans="1:15" x14ac:dyDescent="0.25">
      <c r="A33">
        <v>440</v>
      </c>
      <c r="B33">
        <v>0</v>
      </c>
      <c r="C33">
        <v>0</v>
      </c>
      <c r="D33" s="1" t="s">
        <v>121</v>
      </c>
      <c r="E33" s="1" t="s">
        <v>122</v>
      </c>
      <c r="F33" t="s">
        <v>15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 t="e">
        <f>LEFT(CoordsCheck[[#This Row],[CircuitID]],SEARCH("-",CoordsCheck[[#This Row],[CircuitID]])-1)</f>
        <v>#VALUE!</v>
      </c>
      <c r="N33">
        <f>IF(AND(CoordsCheck[[#This Row],[JBCoord1]]=0,CoordsCheck[[#This Row],[JBCoord2]]=0,CoordsCheck[[#This Row],[JBCoord3]]=0),1,0)</f>
        <v>1</v>
      </c>
      <c r="O33" s="1" t="b">
        <f>IF(SUMIF(M:M,CoordsCheck[[#This Row],[CicuitNumber]],N:N)/COUNTIF(M:M,CoordsCheck[[#This Row],[CicuitNumber]])&lt;&gt;1,"",FALSE)</f>
        <v>0</v>
      </c>
    </row>
    <row r="34" spans="1:15" x14ac:dyDescent="0.25">
      <c r="A34">
        <v>441</v>
      </c>
      <c r="B34">
        <v>0</v>
      </c>
      <c r="C34">
        <v>0</v>
      </c>
      <c r="D34" s="1" t="s">
        <v>123</v>
      </c>
      <c r="E34" s="1" t="s">
        <v>124</v>
      </c>
      <c r="F34" t="s">
        <v>15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t="e">
        <f>LEFT(CoordsCheck[[#This Row],[CircuitID]],SEARCH("-",CoordsCheck[[#This Row],[CircuitID]])-1)</f>
        <v>#VALUE!</v>
      </c>
      <c r="N34">
        <f>IF(AND(CoordsCheck[[#This Row],[JBCoord1]]=0,CoordsCheck[[#This Row],[JBCoord2]]=0,CoordsCheck[[#This Row],[JBCoord3]]=0),1,0)</f>
        <v>1</v>
      </c>
      <c r="O34" s="1" t="b">
        <f>IF(SUMIF(M:M,CoordsCheck[[#This Row],[CicuitNumber]],N:N)/COUNTIF(M:M,CoordsCheck[[#This Row],[CicuitNumber]])&lt;&gt;1,"",FALSE)</f>
        <v>0</v>
      </c>
    </row>
    <row r="35" spans="1:15" x14ac:dyDescent="0.25">
      <c r="A35">
        <v>442</v>
      </c>
      <c r="B35">
        <v>0</v>
      </c>
      <c r="C35">
        <v>0</v>
      </c>
      <c r="D35" s="1" t="s">
        <v>125</v>
      </c>
      <c r="E35" s="1" t="s">
        <v>126</v>
      </c>
      <c r="F35" t="s">
        <v>15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 t="e">
        <f>LEFT(CoordsCheck[[#This Row],[CircuitID]],SEARCH("-",CoordsCheck[[#This Row],[CircuitID]])-1)</f>
        <v>#VALUE!</v>
      </c>
      <c r="N35">
        <f>IF(AND(CoordsCheck[[#This Row],[JBCoord1]]=0,CoordsCheck[[#This Row],[JBCoord2]]=0,CoordsCheck[[#This Row],[JBCoord3]]=0),1,0)</f>
        <v>1</v>
      </c>
      <c r="O35" s="1" t="b">
        <f>IF(SUMIF(M:M,CoordsCheck[[#This Row],[CicuitNumber]],N:N)/COUNTIF(M:M,CoordsCheck[[#This Row],[CicuitNumber]])&lt;&gt;1,"",FALSE)</f>
        <v>0</v>
      </c>
    </row>
    <row r="36" spans="1:15" x14ac:dyDescent="0.25">
      <c r="A36">
        <v>443</v>
      </c>
      <c r="B36">
        <v>0</v>
      </c>
      <c r="C36">
        <v>0</v>
      </c>
      <c r="D36" s="1" t="s">
        <v>127</v>
      </c>
      <c r="E36" s="1" t="s">
        <v>128</v>
      </c>
      <c r="F36" t="s">
        <v>15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 t="e">
        <f>LEFT(CoordsCheck[[#This Row],[CircuitID]],SEARCH("-",CoordsCheck[[#This Row],[CircuitID]])-1)</f>
        <v>#VALUE!</v>
      </c>
      <c r="N36">
        <f>IF(AND(CoordsCheck[[#This Row],[JBCoord1]]=0,CoordsCheck[[#This Row],[JBCoord2]]=0,CoordsCheck[[#This Row],[JBCoord3]]=0),1,0)</f>
        <v>1</v>
      </c>
      <c r="O36" s="1" t="b">
        <f>IF(SUMIF(M:M,CoordsCheck[[#This Row],[CicuitNumber]],N:N)/COUNTIF(M:M,CoordsCheck[[#This Row],[CicuitNumber]])&lt;&gt;1,"",FALSE)</f>
        <v>0</v>
      </c>
    </row>
    <row r="37" spans="1:15" x14ac:dyDescent="0.25">
      <c r="A37">
        <v>444</v>
      </c>
      <c r="B37">
        <v>0</v>
      </c>
      <c r="C37">
        <v>0</v>
      </c>
      <c r="D37" s="1" t="s">
        <v>129</v>
      </c>
      <c r="E37" s="1" t="s">
        <v>130</v>
      </c>
      <c r="F37" t="s">
        <v>15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 t="e">
        <f>LEFT(CoordsCheck[[#This Row],[CircuitID]],SEARCH("-",CoordsCheck[[#This Row],[CircuitID]])-1)</f>
        <v>#VALUE!</v>
      </c>
      <c r="N37">
        <f>IF(AND(CoordsCheck[[#This Row],[JBCoord1]]=0,CoordsCheck[[#This Row],[JBCoord2]]=0,CoordsCheck[[#This Row],[JBCoord3]]=0),1,0)</f>
        <v>1</v>
      </c>
      <c r="O37" s="1" t="b">
        <f>IF(SUMIF(M:M,CoordsCheck[[#This Row],[CicuitNumber]],N:N)/COUNTIF(M:M,CoordsCheck[[#This Row],[CicuitNumber]])&lt;&gt;1,"",FALSE)</f>
        <v>0</v>
      </c>
    </row>
    <row r="38" spans="1:15" x14ac:dyDescent="0.25">
      <c r="A38">
        <v>445</v>
      </c>
      <c r="B38">
        <v>0</v>
      </c>
      <c r="C38">
        <v>0</v>
      </c>
      <c r="D38" s="1" t="s">
        <v>131</v>
      </c>
      <c r="E38" s="1" t="s">
        <v>132</v>
      </c>
      <c r="F38" t="s">
        <v>15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 t="e">
        <f>LEFT(CoordsCheck[[#This Row],[CircuitID]],SEARCH("-",CoordsCheck[[#This Row],[CircuitID]])-1)</f>
        <v>#VALUE!</v>
      </c>
      <c r="N38">
        <f>IF(AND(CoordsCheck[[#This Row],[JBCoord1]]=0,CoordsCheck[[#This Row],[JBCoord2]]=0,CoordsCheck[[#This Row],[JBCoord3]]=0),1,0)</f>
        <v>1</v>
      </c>
      <c r="O38" s="1" t="b">
        <f>IF(SUMIF(M:M,CoordsCheck[[#This Row],[CicuitNumber]],N:N)/COUNTIF(M:M,CoordsCheck[[#This Row],[CicuitNumber]])&lt;&gt;1,"",FALSE)</f>
        <v>0</v>
      </c>
    </row>
    <row r="39" spans="1:15" x14ac:dyDescent="0.25">
      <c r="A39">
        <v>446</v>
      </c>
      <c r="B39">
        <v>0</v>
      </c>
      <c r="C39">
        <v>0</v>
      </c>
      <c r="D39" s="1" t="s">
        <v>133</v>
      </c>
      <c r="E39" s="1" t="s">
        <v>134</v>
      </c>
      <c r="F39" t="s">
        <v>15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 t="e">
        <f>LEFT(CoordsCheck[[#This Row],[CircuitID]],SEARCH("-",CoordsCheck[[#This Row],[CircuitID]])-1)</f>
        <v>#VALUE!</v>
      </c>
      <c r="N39">
        <f>IF(AND(CoordsCheck[[#This Row],[JBCoord1]]=0,CoordsCheck[[#This Row],[JBCoord2]]=0,CoordsCheck[[#This Row],[JBCoord3]]=0),1,0)</f>
        <v>1</v>
      </c>
      <c r="O39" s="1" t="b">
        <f>IF(SUMIF(M:M,CoordsCheck[[#This Row],[CicuitNumber]],N:N)/COUNTIF(M:M,CoordsCheck[[#This Row],[CicuitNumber]])&lt;&gt;1,"",FALSE)</f>
        <v>0</v>
      </c>
    </row>
    <row r="40" spans="1:15" x14ac:dyDescent="0.25">
      <c r="A40">
        <v>447</v>
      </c>
      <c r="B40">
        <v>0</v>
      </c>
      <c r="C40">
        <v>0</v>
      </c>
      <c r="D40" s="1" t="s">
        <v>135</v>
      </c>
      <c r="E40" s="1" t="s">
        <v>136</v>
      </c>
      <c r="F40" t="s">
        <v>15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 t="e">
        <f>LEFT(CoordsCheck[[#This Row],[CircuitID]],SEARCH("-",CoordsCheck[[#This Row],[CircuitID]])-1)</f>
        <v>#VALUE!</v>
      </c>
      <c r="N40">
        <f>IF(AND(CoordsCheck[[#This Row],[JBCoord1]]=0,CoordsCheck[[#This Row],[JBCoord2]]=0,CoordsCheck[[#This Row],[JBCoord3]]=0),1,0)</f>
        <v>1</v>
      </c>
      <c r="O40" s="1" t="b">
        <f>IF(SUMIF(M:M,CoordsCheck[[#This Row],[CicuitNumber]],N:N)/COUNTIF(M:M,CoordsCheck[[#This Row],[CicuitNumber]])&lt;&gt;1,"",FALSE)</f>
        <v>0</v>
      </c>
    </row>
    <row r="41" spans="1:15" x14ac:dyDescent="0.25">
      <c r="A41">
        <v>448</v>
      </c>
      <c r="B41">
        <v>0</v>
      </c>
      <c r="C41">
        <v>0</v>
      </c>
      <c r="D41" s="1" t="s">
        <v>135</v>
      </c>
      <c r="E41" s="1" t="s">
        <v>137</v>
      </c>
      <c r="F41" t="s">
        <v>15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 t="e">
        <f>LEFT(CoordsCheck[[#This Row],[CircuitID]],SEARCH("-",CoordsCheck[[#This Row],[CircuitID]])-1)</f>
        <v>#VALUE!</v>
      </c>
      <c r="N41">
        <f>IF(AND(CoordsCheck[[#This Row],[JBCoord1]]=0,CoordsCheck[[#This Row],[JBCoord2]]=0,CoordsCheck[[#This Row],[JBCoord3]]=0),1,0)</f>
        <v>1</v>
      </c>
      <c r="O41" s="1" t="b">
        <f>IF(SUMIF(M:M,CoordsCheck[[#This Row],[CicuitNumber]],N:N)/COUNTIF(M:M,CoordsCheck[[#This Row],[CicuitNumber]])&lt;&gt;1,"",FALSE)</f>
        <v>0</v>
      </c>
    </row>
    <row r="42" spans="1:15" x14ac:dyDescent="0.25">
      <c r="A42">
        <v>449</v>
      </c>
      <c r="B42">
        <v>0</v>
      </c>
      <c r="C42">
        <v>0</v>
      </c>
      <c r="D42" s="1" t="s">
        <v>138</v>
      </c>
      <c r="E42" s="1" t="s">
        <v>139</v>
      </c>
      <c r="F42" t="s">
        <v>15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 t="e">
        <f>LEFT(CoordsCheck[[#This Row],[CircuitID]],SEARCH("-",CoordsCheck[[#This Row],[CircuitID]])-1)</f>
        <v>#VALUE!</v>
      </c>
      <c r="N42">
        <f>IF(AND(CoordsCheck[[#This Row],[JBCoord1]]=0,CoordsCheck[[#This Row],[JBCoord2]]=0,CoordsCheck[[#This Row],[JBCoord3]]=0),1,0)</f>
        <v>1</v>
      </c>
      <c r="O42" s="1" t="b">
        <f>IF(SUMIF(M:M,CoordsCheck[[#This Row],[CicuitNumber]],N:N)/COUNTIF(M:M,CoordsCheck[[#This Row],[CicuitNumber]])&lt;&gt;1,"",FALSE)</f>
        <v>0</v>
      </c>
    </row>
    <row r="43" spans="1:15" x14ac:dyDescent="0.25">
      <c r="A43">
        <v>450</v>
      </c>
      <c r="B43">
        <v>0</v>
      </c>
      <c r="C43">
        <v>0</v>
      </c>
      <c r="D43" s="1" t="s">
        <v>140</v>
      </c>
      <c r="E43" s="1" t="s">
        <v>141</v>
      </c>
      <c r="F43" t="s">
        <v>15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 t="e">
        <f>LEFT(CoordsCheck[[#This Row],[CircuitID]],SEARCH("-",CoordsCheck[[#This Row],[CircuitID]])-1)</f>
        <v>#VALUE!</v>
      </c>
      <c r="N43">
        <f>IF(AND(CoordsCheck[[#This Row],[JBCoord1]]=0,CoordsCheck[[#This Row],[JBCoord2]]=0,CoordsCheck[[#This Row],[JBCoord3]]=0),1,0)</f>
        <v>1</v>
      </c>
      <c r="O43" s="1" t="b">
        <f>IF(SUMIF(M:M,CoordsCheck[[#This Row],[CicuitNumber]],N:N)/COUNTIF(M:M,CoordsCheck[[#This Row],[CicuitNumber]])&lt;&gt;1,"",FALSE)</f>
        <v>0</v>
      </c>
    </row>
    <row r="44" spans="1:15" x14ac:dyDescent="0.25">
      <c r="A44">
        <v>451</v>
      </c>
      <c r="B44">
        <v>0</v>
      </c>
      <c r="C44">
        <v>0</v>
      </c>
      <c r="D44" s="1" t="s">
        <v>140</v>
      </c>
      <c r="E44" s="1" t="s">
        <v>142</v>
      </c>
      <c r="F44" t="s">
        <v>15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 t="e">
        <f>LEFT(CoordsCheck[[#This Row],[CircuitID]],SEARCH("-",CoordsCheck[[#This Row],[CircuitID]])-1)</f>
        <v>#VALUE!</v>
      </c>
      <c r="N44">
        <f>IF(AND(CoordsCheck[[#This Row],[JBCoord1]]=0,CoordsCheck[[#This Row],[JBCoord2]]=0,CoordsCheck[[#This Row],[JBCoord3]]=0),1,0)</f>
        <v>1</v>
      </c>
      <c r="O44" s="1" t="b">
        <f>IF(SUMIF(M:M,CoordsCheck[[#This Row],[CicuitNumber]],N:N)/COUNTIF(M:M,CoordsCheck[[#This Row],[CicuitNumber]])&lt;&gt;1,"",FALSE)</f>
        <v>0</v>
      </c>
    </row>
    <row r="45" spans="1:15" x14ac:dyDescent="0.25">
      <c r="A45">
        <v>452</v>
      </c>
      <c r="B45">
        <v>0</v>
      </c>
      <c r="C45">
        <v>0</v>
      </c>
      <c r="D45" s="1" t="s">
        <v>143</v>
      </c>
      <c r="E45" s="1" t="s">
        <v>144</v>
      </c>
      <c r="F45" t="s">
        <v>15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 t="e">
        <f>LEFT(CoordsCheck[[#This Row],[CircuitID]],SEARCH("-",CoordsCheck[[#This Row],[CircuitID]])-1)</f>
        <v>#VALUE!</v>
      </c>
      <c r="N45">
        <f>IF(AND(CoordsCheck[[#This Row],[JBCoord1]]=0,CoordsCheck[[#This Row],[JBCoord2]]=0,CoordsCheck[[#This Row],[JBCoord3]]=0),1,0)</f>
        <v>1</v>
      </c>
      <c r="O45" s="1" t="b">
        <f>IF(SUMIF(M:M,CoordsCheck[[#This Row],[CicuitNumber]],N:N)/COUNTIF(M:M,CoordsCheck[[#This Row],[CicuitNumber]])&lt;&gt;1,"",FALSE)</f>
        <v>0</v>
      </c>
    </row>
    <row r="46" spans="1:15" x14ac:dyDescent="0.25">
      <c r="A46">
        <v>453</v>
      </c>
      <c r="B46">
        <v>0</v>
      </c>
      <c r="C46">
        <v>0</v>
      </c>
      <c r="D46" s="1" t="s">
        <v>145</v>
      </c>
      <c r="E46" s="1" t="s">
        <v>146</v>
      </c>
      <c r="F46" t="s">
        <v>15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 t="e">
        <f>LEFT(CoordsCheck[[#This Row],[CircuitID]],SEARCH("-",CoordsCheck[[#This Row],[CircuitID]])-1)</f>
        <v>#VALUE!</v>
      </c>
      <c r="N46">
        <f>IF(AND(CoordsCheck[[#This Row],[JBCoord1]]=0,CoordsCheck[[#This Row],[JBCoord2]]=0,CoordsCheck[[#This Row],[JBCoord3]]=0),1,0)</f>
        <v>1</v>
      </c>
      <c r="O46" s="1" t="b">
        <f>IF(SUMIF(M:M,CoordsCheck[[#This Row],[CicuitNumber]],N:N)/COUNTIF(M:M,CoordsCheck[[#This Row],[CicuitNumber]])&lt;&gt;1,"",FALSE)</f>
        <v>0</v>
      </c>
    </row>
    <row r="47" spans="1:15" x14ac:dyDescent="0.25">
      <c r="A47">
        <v>454</v>
      </c>
      <c r="B47">
        <v>0</v>
      </c>
      <c r="C47">
        <v>0</v>
      </c>
      <c r="D47" s="1" t="s">
        <v>145</v>
      </c>
      <c r="E47" s="1" t="s">
        <v>147</v>
      </c>
      <c r="F47" t="s">
        <v>15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 t="e">
        <f>LEFT(CoordsCheck[[#This Row],[CircuitID]],SEARCH("-",CoordsCheck[[#This Row],[CircuitID]])-1)</f>
        <v>#VALUE!</v>
      </c>
      <c r="N47">
        <f>IF(AND(CoordsCheck[[#This Row],[JBCoord1]]=0,CoordsCheck[[#This Row],[JBCoord2]]=0,CoordsCheck[[#This Row],[JBCoord3]]=0),1,0)</f>
        <v>1</v>
      </c>
      <c r="O47" s="1" t="b">
        <f>IF(SUMIF(M:M,CoordsCheck[[#This Row],[CicuitNumber]],N:N)/COUNTIF(M:M,CoordsCheck[[#This Row],[CicuitNumber]])&lt;&gt;1,"",FALSE)</f>
        <v>0</v>
      </c>
    </row>
    <row r="48" spans="1:15" x14ac:dyDescent="0.25">
      <c r="A48">
        <v>455</v>
      </c>
      <c r="B48">
        <v>0</v>
      </c>
      <c r="C48">
        <v>0</v>
      </c>
      <c r="D48" s="1" t="s">
        <v>148</v>
      </c>
      <c r="E48" s="1" t="s">
        <v>149</v>
      </c>
      <c r="F48" t="s">
        <v>15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 t="e">
        <f>LEFT(CoordsCheck[[#This Row],[CircuitID]],SEARCH("-",CoordsCheck[[#This Row],[CircuitID]])-1)</f>
        <v>#VALUE!</v>
      </c>
      <c r="N48">
        <f>IF(AND(CoordsCheck[[#This Row],[JBCoord1]]=0,CoordsCheck[[#This Row],[JBCoord2]]=0,CoordsCheck[[#This Row],[JBCoord3]]=0),1,0)</f>
        <v>1</v>
      </c>
      <c r="O48" s="1" t="b">
        <f>IF(SUMIF(M:M,CoordsCheck[[#This Row],[CicuitNumber]],N:N)/COUNTIF(M:M,CoordsCheck[[#This Row],[CicuitNumber]])&lt;&gt;1,"",FALSE)</f>
        <v>0</v>
      </c>
    </row>
    <row r="49" spans="1:15" x14ac:dyDescent="0.25">
      <c r="A49">
        <v>456</v>
      </c>
      <c r="B49">
        <v>0</v>
      </c>
      <c r="C49">
        <v>0</v>
      </c>
      <c r="D49" s="1" t="s">
        <v>150</v>
      </c>
      <c r="E49" s="1" t="s">
        <v>151</v>
      </c>
      <c r="F49" t="s">
        <v>15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 t="e">
        <f>LEFT(CoordsCheck[[#This Row],[CircuitID]],SEARCH("-",CoordsCheck[[#This Row],[CircuitID]])-1)</f>
        <v>#VALUE!</v>
      </c>
      <c r="N49">
        <f>IF(AND(CoordsCheck[[#This Row],[JBCoord1]]=0,CoordsCheck[[#This Row],[JBCoord2]]=0,CoordsCheck[[#This Row],[JBCoord3]]=0),1,0)</f>
        <v>1</v>
      </c>
      <c r="O49" s="1" t="b">
        <f>IF(SUMIF(M:M,CoordsCheck[[#This Row],[CicuitNumber]],N:N)/COUNTIF(M:M,CoordsCheck[[#This Row],[CicuitNumber]])&lt;&gt;1,"",FALSE)</f>
        <v>0</v>
      </c>
    </row>
    <row r="50" spans="1:15" x14ac:dyDescent="0.25">
      <c r="A50">
        <v>457</v>
      </c>
      <c r="B50">
        <v>0</v>
      </c>
      <c r="C50">
        <v>0</v>
      </c>
      <c r="D50" s="1" t="s">
        <v>150</v>
      </c>
      <c r="E50" s="1" t="s">
        <v>152</v>
      </c>
      <c r="F50" t="s">
        <v>15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 t="e">
        <f>LEFT(CoordsCheck[[#This Row],[CircuitID]],SEARCH("-",CoordsCheck[[#This Row],[CircuitID]])-1)</f>
        <v>#VALUE!</v>
      </c>
      <c r="N50">
        <f>IF(AND(CoordsCheck[[#This Row],[JBCoord1]]=0,CoordsCheck[[#This Row],[JBCoord2]]=0,CoordsCheck[[#This Row],[JBCoord3]]=0),1,0)</f>
        <v>1</v>
      </c>
      <c r="O50" s="1" t="b">
        <f>IF(SUMIF(M:M,CoordsCheck[[#This Row],[CicuitNumber]],N:N)/COUNTIF(M:M,CoordsCheck[[#This Row],[CicuitNumber]])&lt;&gt;1,"",FALSE)</f>
        <v>0</v>
      </c>
    </row>
    <row r="51" spans="1:15" x14ac:dyDescent="0.25">
      <c r="A51">
        <v>458</v>
      </c>
      <c r="B51">
        <v>457</v>
      </c>
      <c r="C51">
        <v>457</v>
      </c>
      <c r="D51" s="1" t="s">
        <v>153</v>
      </c>
      <c r="E51" s="1" t="s">
        <v>152</v>
      </c>
      <c r="F51" t="s">
        <v>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 t="e">
        <f>LEFT(CoordsCheck[[#This Row],[CircuitID]],SEARCH("-",CoordsCheck[[#This Row],[CircuitID]])-1)</f>
        <v>#VALUE!</v>
      </c>
      <c r="N51">
        <f>IF(AND(CoordsCheck[[#This Row],[JBCoord1]]=0,CoordsCheck[[#This Row],[JBCoord2]]=0,CoordsCheck[[#This Row],[JBCoord3]]=0),1,0)</f>
        <v>1</v>
      </c>
      <c r="O51" s="1" t="b">
        <f>IF(SUMIF(M:M,CoordsCheck[[#This Row],[CicuitNumber]],N:N)/COUNTIF(M:M,CoordsCheck[[#This Row],[CicuitNumber]])&lt;&gt;1,"",FALSE)</f>
        <v>0</v>
      </c>
    </row>
    <row r="52" spans="1:15" x14ac:dyDescent="0.25">
      <c r="A52">
        <v>459</v>
      </c>
      <c r="B52">
        <v>0</v>
      </c>
      <c r="C52">
        <v>0</v>
      </c>
      <c r="D52" s="1" t="s">
        <v>154</v>
      </c>
      <c r="E52" s="1" t="s">
        <v>155</v>
      </c>
      <c r="F52" t="s">
        <v>15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 t="e">
        <f>LEFT(CoordsCheck[[#This Row],[CircuitID]],SEARCH("-",CoordsCheck[[#This Row],[CircuitID]])-1)</f>
        <v>#VALUE!</v>
      </c>
      <c r="N52">
        <f>IF(AND(CoordsCheck[[#This Row],[JBCoord1]]=0,CoordsCheck[[#This Row],[JBCoord2]]=0,CoordsCheck[[#This Row],[JBCoord3]]=0),1,0)</f>
        <v>1</v>
      </c>
      <c r="O52" s="1" t="b">
        <f>IF(SUMIF(M:M,CoordsCheck[[#This Row],[CicuitNumber]],N:N)/COUNTIF(M:M,CoordsCheck[[#This Row],[CicuitNumber]])&lt;&gt;1,"",FALSE)</f>
        <v>0</v>
      </c>
    </row>
    <row r="53" spans="1:15" x14ac:dyDescent="0.25">
      <c r="A53">
        <v>460</v>
      </c>
      <c r="B53">
        <v>0</v>
      </c>
      <c r="C53">
        <v>0</v>
      </c>
      <c r="D53" s="1" t="s">
        <v>156</v>
      </c>
      <c r="E53" s="1" t="s">
        <v>157</v>
      </c>
      <c r="F53" t="s">
        <v>15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 t="e">
        <f>LEFT(CoordsCheck[[#This Row],[CircuitID]],SEARCH("-",CoordsCheck[[#This Row],[CircuitID]])-1)</f>
        <v>#VALUE!</v>
      </c>
      <c r="N53">
        <f>IF(AND(CoordsCheck[[#This Row],[JBCoord1]]=0,CoordsCheck[[#This Row],[JBCoord2]]=0,CoordsCheck[[#This Row],[JBCoord3]]=0),1,0)</f>
        <v>1</v>
      </c>
      <c r="O53" s="1" t="b">
        <f>IF(SUMIF(M:M,CoordsCheck[[#This Row],[CicuitNumber]],N:N)/COUNTIF(M:M,CoordsCheck[[#This Row],[CicuitNumber]])&lt;&gt;1,"",FALSE)</f>
        <v>0</v>
      </c>
    </row>
    <row r="54" spans="1:15" x14ac:dyDescent="0.25">
      <c r="A54">
        <v>461</v>
      </c>
      <c r="B54">
        <v>0</v>
      </c>
      <c r="C54">
        <v>0</v>
      </c>
      <c r="D54" s="1" t="s">
        <v>156</v>
      </c>
      <c r="E54" s="1" t="s">
        <v>158</v>
      </c>
      <c r="F54" t="s">
        <v>15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 t="e">
        <f>LEFT(CoordsCheck[[#This Row],[CircuitID]],SEARCH("-",CoordsCheck[[#This Row],[CircuitID]])-1)</f>
        <v>#VALUE!</v>
      </c>
      <c r="N54">
        <f>IF(AND(CoordsCheck[[#This Row],[JBCoord1]]=0,CoordsCheck[[#This Row],[JBCoord2]]=0,CoordsCheck[[#This Row],[JBCoord3]]=0),1,0)</f>
        <v>1</v>
      </c>
      <c r="O54" s="1" t="b">
        <f>IF(SUMIF(M:M,CoordsCheck[[#This Row],[CicuitNumber]],N:N)/COUNTIF(M:M,CoordsCheck[[#This Row],[CicuitNumber]])&lt;&gt;1,"",FALSE)</f>
        <v>0</v>
      </c>
    </row>
    <row r="55" spans="1:15" x14ac:dyDescent="0.25">
      <c r="A55">
        <v>462</v>
      </c>
      <c r="B55">
        <v>461</v>
      </c>
      <c r="C55">
        <v>461</v>
      </c>
      <c r="D55" s="1" t="s">
        <v>159</v>
      </c>
      <c r="E55" s="1" t="s">
        <v>158</v>
      </c>
      <c r="F55" t="s">
        <v>5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 t="e">
        <f>LEFT(CoordsCheck[[#This Row],[CircuitID]],SEARCH("-",CoordsCheck[[#This Row],[CircuitID]])-1)</f>
        <v>#VALUE!</v>
      </c>
      <c r="N55">
        <f>IF(AND(CoordsCheck[[#This Row],[JBCoord1]]=0,CoordsCheck[[#This Row],[JBCoord2]]=0,CoordsCheck[[#This Row],[JBCoord3]]=0),1,0)</f>
        <v>1</v>
      </c>
      <c r="O55" s="1" t="b">
        <f>IF(SUMIF(M:M,CoordsCheck[[#This Row],[CicuitNumber]],N:N)/COUNTIF(M:M,CoordsCheck[[#This Row],[CicuitNumber]])&lt;&gt;1,"",FALSE)</f>
        <v>0</v>
      </c>
    </row>
  </sheetData>
  <phoneticPr fontId="2" type="noConversion"/>
  <conditionalFormatting sqref="A2:O55">
    <cfRule type="expression" dxfId="6" priority="1">
      <formula>$O2=FALSE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heckCoords">
                <anchor moveWithCells="1" sizeWithCells="1">
                  <from>
                    <xdr:col>1</xdr:col>
                    <xdr:colOff>638175</xdr:colOff>
                    <xdr:row>0</xdr:row>
                    <xdr:rowOff>123825</xdr:rowOff>
                  </from>
                  <to>
                    <xdr:col>1</xdr:col>
                    <xdr:colOff>1533525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B2B-73BF-43D9-B5B6-145FC670F2C2}">
  <sheetPr codeName="Sheet4">
    <tabColor rgb="FF92D050"/>
  </sheetPr>
  <dimension ref="A1:K12"/>
  <sheetViews>
    <sheetView workbookViewId="0">
      <selection activeCell="K1" sqref="K1"/>
    </sheetView>
  </sheetViews>
  <sheetFormatPr defaultRowHeight="15" x14ac:dyDescent="0.25"/>
  <cols>
    <col min="1" max="1" width="58.7109375" bestFit="1" customWidth="1"/>
    <col min="2" max="2" width="21.42578125" customWidth="1"/>
    <col min="6" max="6" width="28.28515625" customWidth="1"/>
    <col min="7" max="7" width="10.42578125" customWidth="1"/>
    <col min="10" max="10" width="11.42578125" bestFit="1" customWidth="1"/>
  </cols>
  <sheetData>
    <row r="1" spans="1:11" x14ac:dyDescent="0.25">
      <c r="A1" t="s">
        <v>13</v>
      </c>
      <c r="B1" t="s">
        <v>16</v>
      </c>
      <c r="F1" s="2" t="s">
        <v>10</v>
      </c>
      <c r="G1" s="2" t="s">
        <v>14</v>
      </c>
      <c r="J1" t="s">
        <v>48</v>
      </c>
      <c r="K1" s="4" t="s">
        <v>14</v>
      </c>
    </row>
    <row r="2" spans="1:11" x14ac:dyDescent="0.25">
      <c r="A2" t="s">
        <v>172</v>
      </c>
      <c r="B2" t="s">
        <v>17</v>
      </c>
      <c r="F2" t="s">
        <v>15</v>
      </c>
      <c r="G2">
        <v>0</v>
      </c>
      <c r="J2" t="s">
        <v>49</v>
      </c>
      <c r="K2">
        <v>7</v>
      </c>
    </row>
    <row r="3" spans="1:11" x14ac:dyDescent="0.25">
      <c r="F3" t="s">
        <v>0</v>
      </c>
      <c r="G3">
        <v>7</v>
      </c>
      <c r="J3" t="s">
        <v>50</v>
      </c>
      <c r="K3">
        <v>1</v>
      </c>
    </row>
    <row r="4" spans="1:11" x14ac:dyDescent="0.25">
      <c r="F4" t="s">
        <v>1</v>
      </c>
      <c r="G4">
        <v>12</v>
      </c>
      <c r="J4" t="s">
        <v>51</v>
      </c>
      <c r="K4">
        <v>4</v>
      </c>
    </row>
    <row r="5" spans="1:11" x14ac:dyDescent="0.25">
      <c r="F5" t="s">
        <v>3</v>
      </c>
      <c r="G5">
        <v>11</v>
      </c>
      <c r="J5" t="s">
        <v>52</v>
      </c>
      <c r="K5">
        <v>8</v>
      </c>
    </row>
    <row r="6" spans="1:11" x14ac:dyDescent="0.25">
      <c r="F6" t="s">
        <v>2</v>
      </c>
      <c r="G6">
        <v>10</v>
      </c>
      <c r="J6" t="s">
        <v>53</v>
      </c>
      <c r="K6">
        <v>10</v>
      </c>
    </row>
    <row r="7" spans="1:11" x14ac:dyDescent="0.25">
      <c r="F7" t="s">
        <v>4</v>
      </c>
      <c r="G7">
        <v>1</v>
      </c>
      <c r="J7" t="s">
        <v>54</v>
      </c>
      <c r="K7">
        <v>11</v>
      </c>
    </row>
    <row r="8" spans="1:11" x14ac:dyDescent="0.25">
      <c r="F8" t="s">
        <v>5</v>
      </c>
      <c r="G8">
        <v>2</v>
      </c>
    </row>
    <row r="9" spans="1:11" x14ac:dyDescent="0.25">
      <c r="F9" t="s">
        <v>6</v>
      </c>
      <c r="G9">
        <v>4</v>
      </c>
    </row>
    <row r="10" spans="1:11" x14ac:dyDescent="0.25">
      <c r="F10" t="s">
        <v>7</v>
      </c>
      <c r="G10">
        <v>3</v>
      </c>
    </row>
    <row r="11" spans="1:11" x14ac:dyDescent="0.25">
      <c r="F11" t="s">
        <v>8</v>
      </c>
      <c r="G11">
        <v>5</v>
      </c>
    </row>
    <row r="12" spans="1:11" x14ac:dyDescent="0.25">
      <c r="F12" t="s">
        <v>9</v>
      </c>
      <c r="G12">
        <v>6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F0CB2A-B3BB-4532-A7B3-ABB240A0D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Total Check</vt:lpstr>
      <vt:lpstr>Circuit ID</vt:lpstr>
      <vt:lpstr>Area</vt:lpstr>
      <vt:lpstr>BOM</vt:lpstr>
      <vt:lpstr>Coords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e1234958</dc:creator>
  <cp:lastModifiedBy>e1234958</cp:lastModifiedBy>
  <dcterms:created xsi:type="dcterms:W3CDTF">2021-06-25T10:46:31Z</dcterms:created>
  <dcterms:modified xsi:type="dcterms:W3CDTF">2022-02-22T08:59:21Z</dcterms:modified>
</cp:coreProperties>
</file>