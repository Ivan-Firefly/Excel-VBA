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1234958\Desktop\"/>
    </mc:Choice>
  </mc:AlternateContent>
  <xr:revisionPtr revIDLastSave="0" documentId="13_ncr:1_{431BB166-52DA-4E14-86DE-8CD1DDE8844C}" xr6:coauthVersionLast="47" xr6:coauthVersionMax="47" xr10:uidLastSave="{00000000-0000-0000-0000-000000000000}"/>
  <bookViews>
    <workbookView xWindow="28680" yWindow="-120" windowWidth="29040" windowHeight="15840" firstSheet="2" activeTab="2" xr2:uid="{00000000-000D-0000-FFFF-FFFF00000000}"/>
  </bookViews>
  <sheets>
    <sheet name="Path" sheetId="3" state="hidden" r:id="rId1"/>
    <sheet name="TCPro" sheetId="7" state="hidden" r:id="rId2"/>
    <sheet name="Data" sheetId="2" r:id="rId3"/>
  </sheets>
  <externalReferences>
    <externalReference r:id="rId4"/>
  </externalReferences>
  <definedNames>
    <definedName name="ExternalData_1" localSheetId="1" hidden="1">TCPro!$A$1:$P$31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2" l="1"/>
  <c r="D4" i="2"/>
  <c r="D5" i="2"/>
  <c r="D6" i="2"/>
  <c r="D7" i="2"/>
  <c r="D8" i="2"/>
  <c r="D9" i="2"/>
  <c r="D10" i="2"/>
  <c r="D11" i="2"/>
  <c r="D12" i="2"/>
  <c r="D13" i="2"/>
  <c r="E3" i="2"/>
  <c r="F3" i="2"/>
  <c r="E4" i="2"/>
  <c r="F4" i="2"/>
  <c r="E5" i="2"/>
  <c r="F5" i="2"/>
  <c r="E6" i="2"/>
  <c r="F6" i="2"/>
  <c r="E7" i="2"/>
  <c r="F7" i="2"/>
  <c r="E8" i="2"/>
  <c r="F8" i="2"/>
  <c r="E9" i="2"/>
  <c r="F9" i="2"/>
  <c r="E10" i="2"/>
  <c r="F10" i="2"/>
  <c r="E11" i="2"/>
  <c r="F11" i="2"/>
  <c r="E12" i="2"/>
  <c r="F12" i="2"/>
  <c r="E13" i="2"/>
  <c r="F13" i="2"/>
  <c r="D2" i="2"/>
  <c r="E2" i="2"/>
  <c r="B3" i="2" a="1"/>
  <c r="B5" i="2" a="1"/>
  <c r="B7" i="2" a="1"/>
  <c r="B9" i="2" a="1"/>
  <c r="B11" i="2" a="1"/>
  <c r="B13" i="2" a="1"/>
  <c r="B4" i="2" a="1"/>
  <c r="B6" i="2" a="1"/>
  <c r="B8" i="2" a="1"/>
  <c r="B10" i="2" a="1"/>
  <c r="B12" i="2" a="1"/>
  <c r="B12" i="2" l="1"/>
  <c r="C12" i="2" s="1"/>
  <c r="B10" i="2"/>
  <c r="C10" i="2" s="1"/>
  <c r="B8" i="2"/>
  <c r="C8" i="2" s="1"/>
  <c r="B6" i="2"/>
  <c r="C6" i="2" s="1"/>
  <c r="B4" i="2"/>
  <c r="C4" i="2" s="1"/>
  <c r="B13" i="2"/>
  <c r="C13" i="2" s="1"/>
  <c r="B11" i="2"/>
  <c r="C11" i="2" s="1"/>
  <c r="B9" i="2"/>
  <c r="C9" i="2" s="1"/>
  <c r="B7" i="2"/>
  <c r="C7" i="2" s="1"/>
  <c r="B5" i="2"/>
  <c r="C5" i="2" s="1"/>
  <c r="B3" i="2"/>
  <c r="C3" i="2" s="1"/>
  <c r="F2" i="2"/>
  <c r="B2" i="2" a="1"/>
  <c r="B2" i="2" l="1"/>
  <c r="C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HeaterDesign" description="Connection to the 'HeaterDesign' query in the workbook." type="5" refreshedVersion="6" background="1" saveData="1">
    <dbPr connection="Provider=Microsoft.Mashup.OleDb.1;Data Source=$Workbook$;Location=HeaterDesign;Extended Properties=&quot;&quot;" command="SELECT * FROM [HeaterDesign]"/>
  </connection>
  <connection id="2" xr16:uid="{00000000-0015-0000-FFFF-FFFF01000000}" keepAlive="1" name="Query - Linelist" description="Connection to the 'Linelist' query in the workbook." type="5" refreshedVersion="6" background="1" saveData="1">
    <dbPr connection="Provider=Microsoft.Mashup.OleDb.1;Data Source=$Workbook$;Location=Linelist;Extended Properties=&quot;&quot;" command="SELECT * FROM [Linelist]"/>
  </connection>
  <connection id="3" xr16:uid="{00000000-0015-0000-FFFF-FFFF02000000}" keepAlive="1" name="Query - LineListEnv" description="Connection to the 'LineListEnv' query in the workbook." type="5" refreshedVersion="6" background="1">
    <dbPr connection="Provider=Microsoft.Mashup.OleDb.1;Data Source=$Workbook$;Location=LineListEnv;Extended Properties=&quot;&quot;" command="SELECT * FROM [LineListEnv]"/>
  </connection>
  <connection id="4" xr16:uid="{00000000-0015-0000-FFFF-FFFF03000000}" keepAlive="1" name="Query - Merge" description="Connection to the 'Merge' query in the workbook." type="5" refreshedVersion="7" background="1" saveData="1">
    <dbPr connection="Provider=Microsoft.Mashup.OleDb.1;Data Source=$Workbook$;Location=Merge;Extended Properties=&quot;&quot;" command="SELECT * FROM [Merge]"/>
  </connection>
  <connection id="5" xr16:uid="{00000000-0015-0000-FFFF-FFFF04000000}" keepAlive="1" name="Query - Pipes" description="Connection to the 'Pipes' query in the workbook." type="5" refreshedVersion="6" background="1">
    <dbPr connection="Provider=Microsoft.Mashup.OleDb.1;Data Source=$Workbook$;Location=Pipes;Extended Properties=&quot;&quot;" command="SELECT * FROM [Pipe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<sst xmlns="http://schemas.openxmlformats.org/spreadsheetml/2006/main" count="1183" uniqueCount="516">
  <si>
    <t>Family</t>
  </si>
  <si>
    <t>HeaterCatalogNo</t>
  </si>
  <si>
    <t>HA-600V(MI)</t>
  </si>
  <si>
    <t>HAP2N255</t>
  </si>
  <si>
    <t>HAQ2N660</t>
  </si>
  <si>
    <t>HAP2N130</t>
  </si>
  <si>
    <t>HAP2N185</t>
  </si>
  <si>
    <t>HAF2N6600</t>
  </si>
  <si>
    <t>HA-300V(MI)</t>
  </si>
  <si>
    <t>HAF2M59K</t>
  </si>
  <si>
    <t>HAF2N24.5K</t>
  </si>
  <si>
    <t>HAB2M3750</t>
  </si>
  <si>
    <t>HDF/HDC(MI)</t>
  </si>
  <si>
    <t>HDF1M400</t>
  </si>
  <si>
    <t>HDF1M630</t>
  </si>
  <si>
    <t>HDF1M160</t>
  </si>
  <si>
    <t>HAQ2N330</t>
  </si>
  <si>
    <t>HAQ2N940</t>
  </si>
  <si>
    <t>CatalogNo</t>
  </si>
  <si>
    <t>BTV</t>
  </si>
  <si>
    <t>3BTV2-CR</t>
  </si>
  <si>
    <t>3BTV2-CT</t>
  </si>
  <si>
    <t>5BTV2-CR</t>
  </si>
  <si>
    <t>5BTV2-CT</t>
  </si>
  <si>
    <t>8BTV2-CR</t>
  </si>
  <si>
    <t>8BTV2-CT</t>
  </si>
  <si>
    <t>10BTV2-CR</t>
  </si>
  <si>
    <t>10BTV2-CT</t>
  </si>
  <si>
    <t>QTV</t>
  </si>
  <si>
    <t>10QTVR2-CT</t>
  </si>
  <si>
    <t>15QTVR2-CT</t>
  </si>
  <si>
    <t>20QTVR2-CT</t>
  </si>
  <si>
    <t>XTV</t>
  </si>
  <si>
    <t>4XTV2-CT-T3</t>
  </si>
  <si>
    <t>8XTV2-CT-T3</t>
  </si>
  <si>
    <t>12XTV2-CT-T3</t>
  </si>
  <si>
    <t>15XTV2-CT-T3</t>
  </si>
  <si>
    <t>20XTV2-CT-T2</t>
  </si>
  <si>
    <t>VPL</t>
  </si>
  <si>
    <t>5VPL2-CT</t>
  </si>
  <si>
    <t>10VPL2-CT</t>
  </si>
  <si>
    <t>15VPL2-CT</t>
  </si>
  <si>
    <t>20VPL2-CT</t>
  </si>
  <si>
    <t>5VPL4-CT</t>
  </si>
  <si>
    <t>10VPL4-CT</t>
  </si>
  <si>
    <t>15VPL4-CT</t>
  </si>
  <si>
    <t>20VPL4-CT</t>
  </si>
  <si>
    <t>KTV</t>
  </si>
  <si>
    <t>5KTV2-CT</t>
  </si>
  <si>
    <t>8KTV2-CT</t>
  </si>
  <si>
    <t>15KTV2-CT</t>
  </si>
  <si>
    <t>20KTV2-CT</t>
  </si>
  <si>
    <t>FMT/FHT</t>
  </si>
  <si>
    <t>10FMT2-CT</t>
  </si>
  <si>
    <t>20FMT2-CT</t>
  </si>
  <si>
    <t>30FMT2-CT</t>
  </si>
  <si>
    <t>10FHT2-CT</t>
  </si>
  <si>
    <t>20FHT2-CT</t>
  </si>
  <si>
    <t>30FHT2-CT</t>
  </si>
  <si>
    <t>40FHT2-CT</t>
  </si>
  <si>
    <t>10FHT4-CT</t>
  </si>
  <si>
    <t>20FHT4-CT</t>
  </si>
  <si>
    <t>30FHT4-CT</t>
  </si>
  <si>
    <t>XMI-A 300V</t>
  </si>
  <si>
    <t>32SA2318</t>
  </si>
  <si>
    <t>32SB3914</t>
  </si>
  <si>
    <t>32SF1180</t>
  </si>
  <si>
    <t>32SF1110</t>
  </si>
  <si>
    <t>32SF2900</t>
  </si>
  <si>
    <t>32SF2750</t>
  </si>
  <si>
    <t>32SA2600</t>
  </si>
  <si>
    <t>32SA2400</t>
  </si>
  <si>
    <t>32SA2275</t>
  </si>
  <si>
    <t>32SA2200</t>
  </si>
  <si>
    <t>32SA2170</t>
  </si>
  <si>
    <t>32SB2114</t>
  </si>
  <si>
    <t>32SB3700</t>
  </si>
  <si>
    <t>32SQ3472</t>
  </si>
  <si>
    <t>32SQ3374</t>
  </si>
  <si>
    <t>32SQ3293</t>
  </si>
  <si>
    <t>32SQ3200</t>
  </si>
  <si>
    <t>32SQ3150</t>
  </si>
  <si>
    <t>32SQ3100</t>
  </si>
  <si>
    <t>32SP4734</t>
  </si>
  <si>
    <t>32SP4583</t>
  </si>
  <si>
    <t>32SP4458</t>
  </si>
  <si>
    <t>32SC4324</t>
  </si>
  <si>
    <t>3BTV1-CR</t>
  </si>
  <si>
    <t>3BTV1-CT</t>
  </si>
  <si>
    <t>5BTV1-CR</t>
  </si>
  <si>
    <t>5BTV1-CT</t>
  </si>
  <si>
    <t>8BTV1-CR</t>
  </si>
  <si>
    <t>8BTV1-CT</t>
  </si>
  <si>
    <t>10BTV1-CR</t>
  </si>
  <si>
    <t>10BTV1-CT</t>
  </si>
  <si>
    <t>LBTV2-CT</t>
  </si>
  <si>
    <t>5HBTV1-CT</t>
  </si>
  <si>
    <t>8HBTV1-CT</t>
  </si>
  <si>
    <t>10HBTV1-CT</t>
  </si>
  <si>
    <t>5HBTV2-CT</t>
  </si>
  <si>
    <t>8HBTV2-CT</t>
  </si>
  <si>
    <t>10HBTV2-CT</t>
  </si>
  <si>
    <t>XMI-A 600V</t>
  </si>
  <si>
    <t>62SA2170</t>
  </si>
  <si>
    <t>62SA2275</t>
  </si>
  <si>
    <t>62SB3914</t>
  </si>
  <si>
    <t>62SF2750</t>
  </si>
  <si>
    <t>62SQ3374</t>
  </si>
  <si>
    <t>62SF1110</t>
  </si>
  <si>
    <t>62SF2900</t>
  </si>
  <si>
    <t>62SF2600</t>
  </si>
  <si>
    <t>62SA2414</t>
  </si>
  <si>
    <t>62SF2200</t>
  </si>
  <si>
    <t>62ST2115</t>
  </si>
  <si>
    <t>62SB3700</t>
  </si>
  <si>
    <t>62ST3505</t>
  </si>
  <si>
    <t>62SQ3286</t>
  </si>
  <si>
    <t>62SQ3200</t>
  </si>
  <si>
    <t>62SQ3150</t>
  </si>
  <si>
    <t>62SQ3100</t>
  </si>
  <si>
    <t>62SP4775</t>
  </si>
  <si>
    <t>62SP4561</t>
  </si>
  <si>
    <t>62SP4402</t>
  </si>
  <si>
    <t>62SP4281</t>
  </si>
  <si>
    <t>62SC4200</t>
  </si>
  <si>
    <t>62SC4130</t>
  </si>
  <si>
    <t>61SA2200</t>
  </si>
  <si>
    <t>61SA3700</t>
  </si>
  <si>
    <t>61SA3500</t>
  </si>
  <si>
    <t>61ST3280</t>
  </si>
  <si>
    <t>61SB3200</t>
  </si>
  <si>
    <t>61SB3150</t>
  </si>
  <si>
    <t>61SQ3118</t>
  </si>
  <si>
    <t>61SQ4732</t>
  </si>
  <si>
    <t>61SQ4581</t>
  </si>
  <si>
    <t>61SP4467</t>
  </si>
  <si>
    <t>61SP4366</t>
  </si>
  <si>
    <t>61SP4290</t>
  </si>
  <si>
    <t>61SP4231</t>
  </si>
  <si>
    <t>61SP4183</t>
  </si>
  <si>
    <t>61SP4145</t>
  </si>
  <si>
    <t>61SP4113</t>
  </si>
  <si>
    <t>10QTVR1-CT</t>
  </si>
  <si>
    <t>15QTVR1-CT</t>
  </si>
  <si>
    <t>20QTVR1-CT</t>
  </si>
  <si>
    <t>12HQTV1-CT</t>
  </si>
  <si>
    <t>20HQTV1-CT</t>
  </si>
  <si>
    <t>12HQTV2-CT</t>
  </si>
  <si>
    <t>20HQTV2-CT</t>
  </si>
  <si>
    <t>XMI-A EXTENDED</t>
  </si>
  <si>
    <t>62SC5818</t>
  </si>
  <si>
    <t>62SC5516</t>
  </si>
  <si>
    <t>62SC5324</t>
  </si>
  <si>
    <t>62SC5204</t>
  </si>
  <si>
    <t>62SC5128</t>
  </si>
  <si>
    <t>61SA2160</t>
  </si>
  <si>
    <t>61SA2130</t>
  </si>
  <si>
    <t>61SA2100</t>
  </si>
  <si>
    <t>61SA3850</t>
  </si>
  <si>
    <t>61SC5651</t>
  </si>
  <si>
    <t>61SC5409</t>
  </si>
  <si>
    <t>61SC5258</t>
  </si>
  <si>
    <t>61SC5162</t>
  </si>
  <si>
    <t>61SC5102</t>
  </si>
  <si>
    <t>61SC6640</t>
  </si>
  <si>
    <t>5XTV1-CT-T3</t>
  </si>
  <si>
    <t>10XTV1-CT-T3</t>
  </si>
  <si>
    <t>15XTV1-CT-T2</t>
  </si>
  <si>
    <t>20XTV1-CT-T2</t>
  </si>
  <si>
    <t>5XTV2-CT-T3</t>
  </si>
  <si>
    <t>10XTV2-CT-T3</t>
  </si>
  <si>
    <t>5HXTV1-CT</t>
  </si>
  <si>
    <t>10HXTV1-CT</t>
  </si>
  <si>
    <t>15HXTV1-CT</t>
  </si>
  <si>
    <t>20HXTV1-CT</t>
  </si>
  <si>
    <t>5HXTV2-CT</t>
  </si>
  <si>
    <t>10HXTV2-CT</t>
  </si>
  <si>
    <t>15HXTV2-CT</t>
  </si>
  <si>
    <t>20HXTV2-CT</t>
  </si>
  <si>
    <t>XMI-L 300V-CS</t>
  </si>
  <si>
    <t>32SF1180-CS</t>
  </si>
  <si>
    <t>32SB3914-CS</t>
  </si>
  <si>
    <t>32SA2318-CS</t>
  </si>
  <si>
    <t>32SF1110-CS</t>
  </si>
  <si>
    <t>32SF2900-CS</t>
  </si>
  <si>
    <t>32SF2750-CS</t>
  </si>
  <si>
    <t>32SA2600-CS</t>
  </si>
  <si>
    <t>32SA2400-CS</t>
  </si>
  <si>
    <t>32SA2275-CS</t>
  </si>
  <si>
    <t>32SA2200-CS</t>
  </si>
  <si>
    <t>32SA2170-CS</t>
  </si>
  <si>
    <t>32SB2114-CS</t>
  </si>
  <si>
    <t>32SB3700-CS</t>
  </si>
  <si>
    <t>32SQ3472-CS</t>
  </si>
  <si>
    <t>32SQ3374-CS</t>
  </si>
  <si>
    <t>32SQ3293-CS</t>
  </si>
  <si>
    <t>32SQ3200-CS</t>
  </si>
  <si>
    <t>32SQ3150-CS</t>
  </si>
  <si>
    <t>32SQ3100-CS</t>
  </si>
  <si>
    <t>32SP4734-CS</t>
  </si>
  <si>
    <t>32SP4583-CS</t>
  </si>
  <si>
    <t>32SP4458-CS</t>
  </si>
  <si>
    <t>XMI-L 300V-CL</t>
  </si>
  <si>
    <t>32SB3914-CL</t>
  </si>
  <si>
    <t>32SA2318-CL</t>
  </si>
  <si>
    <t>32SF1180-CL</t>
  </si>
  <si>
    <t>32SF1110-CL</t>
  </si>
  <si>
    <t>32SF2900-CL</t>
  </si>
  <si>
    <t>32SF2750-CL</t>
  </si>
  <si>
    <t>32SA2600-CL</t>
  </si>
  <si>
    <t>32SA2400-CL</t>
  </si>
  <si>
    <t>32SA2275-CL</t>
  </si>
  <si>
    <t>32SA2200-CL</t>
  </si>
  <si>
    <t>32SA2170-CL</t>
  </si>
  <si>
    <t>32SB2114-CL</t>
  </si>
  <si>
    <t>32SB3700-CL</t>
  </si>
  <si>
    <t>32SQ3472-CL</t>
  </si>
  <si>
    <t>32SQ3374-CL</t>
  </si>
  <si>
    <t>32SQ3293-CL</t>
  </si>
  <si>
    <t>32SQ3200-CL</t>
  </si>
  <si>
    <t>32SQ3150-CL</t>
  </si>
  <si>
    <t>32SQ3100-CL</t>
  </si>
  <si>
    <t>32SP4734-CL</t>
  </si>
  <si>
    <t>32SP4583-CL</t>
  </si>
  <si>
    <t>32SP4458-CL</t>
  </si>
  <si>
    <t>XMI-L 600V-CL</t>
  </si>
  <si>
    <t>62SQ3374-CL</t>
  </si>
  <si>
    <t>62SB3914-CL</t>
  </si>
  <si>
    <t>62SA2170-CL</t>
  </si>
  <si>
    <t>62SF2750-CL</t>
  </si>
  <si>
    <t>62SA2275-CL</t>
  </si>
  <si>
    <t>62SF1110-CL</t>
  </si>
  <si>
    <t>62SF2900-CL</t>
  </si>
  <si>
    <t>62SF2600-CL</t>
  </si>
  <si>
    <t>62SA2414-CL</t>
  </si>
  <si>
    <t>62SF2200-CL</t>
  </si>
  <si>
    <t>62ST2115-CL</t>
  </si>
  <si>
    <t>62SB3700-CL</t>
  </si>
  <si>
    <t>62ST3505-CL</t>
  </si>
  <si>
    <t>62SQ3286-CL</t>
  </si>
  <si>
    <t>62SQ3200-CL</t>
  </si>
  <si>
    <t>62SQ3150-CL</t>
  </si>
  <si>
    <t>62SQ3100-CL</t>
  </si>
  <si>
    <t>62SP4775-CL</t>
  </si>
  <si>
    <t>62SP4561-CL</t>
  </si>
  <si>
    <t>62SP4402-CL</t>
  </si>
  <si>
    <t>62SP4281-CL</t>
  </si>
  <si>
    <t>5VPL1-CT</t>
  </si>
  <si>
    <t>10VPL1-CT</t>
  </si>
  <si>
    <t>15VPL1-CT</t>
  </si>
  <si>
    <t>20VPL1-CT</t>
  </si>
  <si>
    <t>5KTV1-CT</t>
  </si>
  <si>
    <t>8KTV1-CT</t>
  </si>
  <si>
    <t>15KTV1-CT</t>
  </si>
  <si>
    <t>20KTV1-CT</t>
  </si>
  <si>
    <t>HTV</t>
  </si>
  <si>
    <t>20HTV2-CT</t>
  </si>
  <si>
    <t>15HTV2-CT</t>
  </si>
  <si>
    <t>12HTV2-CT</t>
  </si>
  <si>
    <t>10HTV2-CT</t>
  </si>
  <si>
    <t>8HTV2-CT</t>
  </si>
  <si>
    <t>5HTV2-CT</t>
  </si>
  <si>
    <t>3HTV2-CT</t>
  </si>
  <si>
    <t>HSQ(MI)</t>
  </si>
  <si>
    <t>HSQ1M630</t>
  </si>
  <si>
    <t>HSQ1M4000</t>
  </si>
  <si>
    <t>HSQ1M400</t>
  </si>
  <si>
    <t>HSQ1M2500</t>
  </si>
  <si>
    <t>HSQ1M250</t>
  </si>
  <si>
    <t>HSQ1M1600</t>
  </si>
  <si>
    <t>HSQ1M160</t>
  </si>
  <si>
    <t>HSQ1M6300</t>
  </si>
  <si>
    <t>HSQ1M1000</t>
  </si>
  <si>
    <t>HSQ1M10K</t>
  </si>
  <si>
    <t>HIQ(MI)</t>
  </si>
  <si>
    <t>HIQ1M160</t>
  </si>
  <si>
    <t>HIQ1M1600</t>
  </si>
  <si>
    <t>HIQ1M250</t>
  </si>
  <si>
    <t>HIQ1M400</t>
  </si>
  <si>
    <t>HIQ1M4000</t>
  </si>
  <si>
    <t>HIQ1M630</t>
  </si>
  <si>
    <t>HIQ1M6300</t>
  </si>
  <si>
    <t>HIQ1M10K</t>
  </si>
  <si>
    <t>HIQ1M2500</t>
  </si>
  <si>
    <t>HIQ1M1000</t>
  </si>
  <si>
    <t>HCH/HCC(MI)</t>
  </si>
  <si>
    <t>HCH1M220</t>
  </si>
  <si>
    <t>HCC1M7</t>
  </si>
  <si>
    <t>HCC1M63</t>
  </si>
  <si>
    <t>HCC1M40</t>
  </si>
  <si>
    <t>HCC1M4</t>
  </si>
  <si>
    <t>HCC1M25</t>
  </si>
  <si>
    <t>HCC1M2.87</t>
  </si>
  <si>
    <t>HCC1M17</t>
  </si>
  <si>
    <t>HCC1M11</t>
  </si>
  <si>
    <t>HCC1M1.72</t>
  </si>
  <si>
    <t>HCC1M1.08</t>
  </si>
  <si>
    <t>HCH1M800</t>
  </si>
  <si>
    <t>HCH1M630</t>
  </si>
  <si>
    <t>HCH1M140</t>
  </si>
  <si>
    <t>HCH1M100</t>
  </si>
  <si>
    <t>HCH1L2000</t>
  </si>
  <si>
    <t>HCH1L1250</t>
  </si>
  <si>
    <t>HCH1M315</t>
  </si>
  <si>
    <t>HCH1M450</t>
  </si>
  <si>
    <t>HDC1M11</t>
  </si>
  <si>
    <t>HDC1M17</t>
  </si>
  <si>
    <t>HDC1M63</t>
  </si>
  <si>
    <t>HDC1M25</t>
  </si>
  <si>
    <t>HDC1M40</t>
  </si>
  <si>
    <t>HDC1M7</t>
  </si>
  <si>
    <t>HDC1M4</t>
  </si>
  <si>
    <t>HDF1M250</t>
  </si>
  <si>
    <t>HDF1M1600</t>
  </si>
  <si>
    <t>HDF1M1000</t>
  </si>
  <si>
    <t>HAB1N660</t>
  </si>
  <si>
    <t>HAB2M2300</t>
  </si>
  <si>
    <t>HAA1N2300</t>
  </si>
  <si>
    <t>HAA1N3300</t>
  </si>
  <si>
    <t>HAT1N920</t>
  </si>
  <si>
    <t>HAP1N60</t>
  </si>
  <si>
    <t>HAQ2M1560</t>
  </si>
  <si>
    <t>HAP1N95</t>
  </si>
  <si>
    <t>HAP2N92</t>
  </si>
  <si>
    <t>HAP1N120</t>
  </si>
  <si>
    <t>HAP1N76</t>
  </si>
  <si>
    <t>HAQ2M1240</t>
  </si>
  <si>
    <t>HAQ2M965</t>
  </si>
  <si>
    <t>HAQ2M660</t>
  </si>
  <si>
    <t>HAQ2M495</t>
  </si>
  <si>
    <t>HAA1N5250</t>
  </si>
  <si>
    <t>HAP1N48</t>
  </si>
  <si>
    <t>HAP2M240</t>
  </si>
  <si>
    <t>HAP2M190</t>
  </si>
  <si>
    <t>HAP2M150</t>
  </si>
  <si>
    <t>HAC2M105</t>
  </si>
  <si>
    <t>HAQ1N190</t>
  </si>
  <si>
    <t>HAQ2M330</t>
  </si>
  <si>
    <t>HAF2M24.5K</t>
  </si>
  <si>
    <t>HAQ1N390</t>
  </si>
  <si>
    <t>HAB2M3000</t>
  </si>
  <si>
    <t>HAQ1N240</t>
  </si>
  <si>
    <t>HAF2M29.5K</t>
  </si>
  <si>
    <t>HAA2M10.4K</t>
  </si>
  <si>
    <t>HAA2M19.7K</t>
  </si>
  <si>
    <t>HAA2M13.2K</t>
  </si>
  <si>
    <t>HAA2M9000</t>
  </si>
  <si>
    <t>HAA1N4300</t>
  </si>
  <si>
    <t>HAA2M5600</t>
  </si>
  <si>
    <t>HAC1N21.3</t>
  </si>
  <si>
    <t>HAP1N155</t>
  </si>
  <si>
    <t>HAP1N37</t>
  </si>
  <si>
    <t>HAB1N500</t>
  </si>
  <si>
    <t>HAA1N1640</t>
  </si>
  <si>
    <t>HAA1N2800</t>
  </si>
  <si>
    <t>HAA2M6600</t>
  </si>
  <si>
    <t>HAA1N6565</t>
  </si>
  <si>
    <t>HAF2M36K</t>
  </si>
  <si>
    <t>HAB2N2300</t>
  </si>
  <si>
    <t>HAF2N19.7K</t>
  </si>
  <si>
    <t>HAF2N36K</t>
  </si>
  <si>
    <t>HAT2N3750</t>
  </si>
  <si>
    <t>HAA2N13.6K</t>
  </si>
  <si>
    <t>HAA2N5600</t>
  </si>
  <si>
    <t>HAA2N9000</t>
  </si>
  <si>
    <t>HAB2N3000</t>
  </si>
  <si>
    <t>HAQ2N1240</t>
  </si>
  <si>
    <t>HAF2N29.5K</t>
  </si>
  <si>
    <t>HAQ2N495</t>
  </si>
  <si>
    <t>HA-X (MI)-SPECIAL</t>
  </si>
  <si>
    <t>HAC1N2</t>
  </si>
  <si>
    <t>HAC2N4.3</t>
  </si>
  <si>
    <t>HAC1N13.5</t>
  </si>
  <si>
    <t>HAC1N8.5</t>
  </si>
  <si>
    <t>HAC1N5.3</t>
  </si>
  <si>
    <t>HAC1N3.3</t>
  </si>
  <si>
    <t>HAT2N1670</t>
  </si>
  <si>
    <t>HAC2N17</t>
  </si>
  <si>
    <t>HAC2N43</t>
  </si>
  <si>
    <t>HAC2N66</t>
  </si>
  <si>
    <t>HAC2N10.5</t>
  </si>
  <si>
    <t>HAC2N27</t>
  </si>
  <si>
    <t>HAC2N6.6</t>
  </si>
  <si>
    <t>XPI</t>
  </si>
  <si>
    <t>XPI-8000</t>
  </si>
  <si>
    <t>XPI-380</t>
  </si>
  <si>
    <t>XPI-480</t>
  </si>
  <si>
    <t>XPI-600</t>
  </si>
  <si>
    <t>XPI-700</t>
  </si>
  <si>
    <t>XPI-810</t>
  </si>
  <si>
    <t>XPI-1440</t>
  </si>
  <si>
    <t>XPI-2000</t>
  </si>
  <si>
    <t>XPI-4000</t>
  </si>
  <si>
    <t>XPI-1000</t>
  </si>
  <si>
    <t>XPI-320</t>
  </si>
  <si>
    <t>XPI-3000</t>
  </si>
  <si>
    <t>XPI-25</t>
  </si>
  <si>
    <t>XPI-10</t>
  </si>
  <si>
    <t>XPI-11.7</t>
  </si>
  <si>
    <t>XPI-15</t>
  </si>
  <si>
    <t>XPI-7</t>
  </si>
  <si>
    <t>XPI-200</t>
  </si>
  <si>
    <t>XPI-1750</t>
  </si>
  <si>
    <t>XPI-31.5</t>
  </si>
  <si>
    <t>XPI-50</t>
  </si>
  <si>
    <t>XPI-65</t>
  </si>
  <si>
    <t>XPI-80</t>
  </si>
  <si>
    <t>XPI-100</t>
  </si>
  <si>
    <t>XPI-150</t>
  </si>
  <si>
    <t>XPI-17.8</t>
  </si>
  <si>
    <t>XPI-SPECIAL</t>
  </si>
  <si>
    <t>XPI-4400</t>
  </si>
  <si>
    <t>XPI-4.4</t>
  </si>
  <si>
    <t>XPI-7000</t>
  </si>
  <si>
    <t>XPI-5160</t>
  </si>
  <si>
    <t>XPI-0.8</t>
  </si>
  <si>
    <t>XPI-1.8</t>
  </si>
  <si>
    <t>XPI-1.1</t>
  </si>
  <si>
    <t>XPI-2.9</t>
  </si>
  <si>
    <t>XPI-5600</t>
  </si>
  <si>
    <t>XPI-S-SPECIAL</t>
  </si>
  <si>
    <t>XPI-S-1440</t>
  </si>
  <si>
    <t>XPI-S-2000</t>
  </si>
  <si>
    <t>XPI-S-3000</t>
  </si>
  <si>
    <t>XPI-S-7000</t>
  </si>
  <si>
    <t>XPI-S-4000</t>
  </si>
  <si>
    <t>XPI-S-5600</t>
  </si>
  <si>
    <t>XPI-S-8000</t>
  </si>
  <si>
    <t>XPI-S-0.8</t>
  </si>
  <si>
    <t>XPI-S-1.1</t>
  </si>
  <si>
    <t>XPI-S-11.7</t>
  </si>
  <si>
    <t>XPI-S-600</t>
  </si>
  <si>
    <t>XPI-S-700</t>
  </si>
  <si>
    <t>XPI-S-1750</t>
  </si>
  <si>
    <t>XPI-S-4400</t>
  </si>
  <si>
    <t>XPI-S-5160</t>
  </si>
  <si>
    <t>XPI-S-1000</t>
  </si>
  <si>
    <t>XPI-S-100</t>
  </si>
  <si>
    <t>XPI-S-1.8</t>
  </si>
  <si>
    <t>XPI-S-4.4</t>
  </si>
  <si>
    <t>XPI-S-200</t>
  </si>
  <si>
    <t>XPI-S-2.9</t>
  </si>
  <si>
    <t>XPI-S-810</t>
  </si>
  <si>
    <t>XPI-S-7</t>
  </si>
  <si>
    <t>XPI-S-10</t>
  </si>
  <si>
    <t>XPI-S-15</t>
  </si>
  <si>
    <t>XPI-S-17.8</t>
  </si>
  <si>
    <t>XPI-S-25</t>
  </si>
  <si>
    <t>XPI-S-50</t>
  </si>
  <si>
    <t>XPI-S-65</t>
  </si>
  <si>
    <t>XPI-S-80</t>
  </si>
  <si>
    <t>XPI-S-150</t>
  </si>
  <si>
    <t>XPI-S-320</t>
  </si>
  <si>
    <t>XPI-S-380</t>
  </si>
  <si>
    <t>XPI-S-480</t>
  </si>
  <si>
    <t>XPI-S-31.5</t>
  </si>
  <si>
    <t>XPI-F</t>
  </si>
  <si>
    <t>XPI-F-80</t>
  </si>
  <si>
    <t>XPI-F-200</t>
  </si>
  <si>
    <t>XPI-F-100</t>
  </si>
  <si>
    <t>XPI-F-65</t>
  </si>
  <si>
    <t>XPI-F-50</t>
  </si>
  <si>
    <t>XPI-F-31.5</t>
  </si>
  <si>
    <t>XPI-F-17.8</t>
  </si>
  <si>
    <t>XPI-F-15</t>
  </si>
  <si>
    <t>XPI-F-11.7</t>
  </si>
  <si>
    <t>XPI-F-10</t>
  </si>
  <si>
    <t>XPI-F-25</t>
  </si>
  <si>
    <t>XPI-F-150</t>
  </si>
  <si>
    <t>XPI-F-SPECIAL</t>
  </si>
  <si>
    <t>XPI-F-7</t>
  </si>
  <si>
    <t>XPI-F-1.8</t>
  </si>
  <si>
    <t>XPI-F-2.9</t>
  </si>
  <si>
    <t>XPI-F-4.4</t>
  </si>
  <si>
    <t>Heater</t>
  </si>
  <si>
    <t>Length</t>
  </si>
  <si>
    <t>Conducor</t>
  </si>
  <si>
    <t>Path</t>
  </si>
  <si>
    <t>TraceCalc file version:</t>
  </si>
  <si>
    <t>LineType</t>
  </si>
  <si>
    <t>Number</t>
  </si>
  <si>
    <t>2.14.00</t>
  </si>
  <si>
    <t>Parent</t>
  </si>
  <si>
    <t>Power Parallel</t>
  </si>
  <si>
    <t>Power Parallel (parent control)</t>
  </si>
  <si>
    <t>Power Splice</t>
  </si>
  <si>
    <t>Power Tee</t>
  </si>
  <si>
    <t>Continuation</t>
  </si>
  <si>
    <t>Loop</t>
  </si>
  <si>
    <t>Slice End</t>
  </si>
  <si>
    <t>Slice Mid</t>
  </si>
  <si>
    <t>Tee mid</t>
  </si>
  <si>
    <t>Tee End</t>
  </si>
  <si>
    <t>RecordID</t>
  </si>
  <si>
    <t>RecordStatus</t>
  </si>
  <si>
    <t>LineListRecordID</t>
  </si>
  <si>
    <t>TechType</t>
  </si>
  <si>
    <t>NumOfConductors</t>
  </si>
  <si>
    <t>ForceTechType</t>
  </si>
  <si>
    <t>ForceTraceRatio</t>
  </si>
  <si>
    <t>ForceFamily</t>
  </si>
  <si>
    <t>ForceHeater</t>
  </si>
  <si>
    <t>CalcCircuitStatus</t>
  </si>
  <si>
    <t>Old MI name</t>
  </si>
  <si>
    <t>Voltage</t>
  </si>
  <si>
    <t>VoltageP2P</t>
  </si>
  <si>
    <t>VoltageP2G</t>
  </si>
  <si>
    <t>B/HAT1N920/43,7M/1184/220/2,0M/AC1H2.5/LW/M20/EX</t>
  </si>
  <si>
    <t>B/HAQ1N390/63,5M/1861/220/2,0M/AC1H2.5/LW/M20/EX</t>
  </si>
  <si>
    <t>B/HAQ1N390/65,4M/1812/220/2,0M/AC1H2.5/LW/M20/EX</t>
  </si>
  <si>
    <t>B/HAQ1N240/81,4M/2361/220/2,0M/AC1H2.5/LW/M20/EX</t>
  </si>
  <si>
    <t>B/HAT1N920/40,5M/1276/220/2,0M/AC1H2.5/LW/M20/EX</t>
  </si>
  <si>
    <t>B/HAB1N660/51,2M/1428/220/2,0M/AC1H2.5/LW/M20/EX</t>
  </si>
  <si>
    <t>B/HAB1N660/46,6M/1566/220/2,0M/AC1H2.5/LW/M20/EX</t>
  </si>
  <si>
    <t>220</t>
  </si>
  <si>
    <t>C:\Users\e1234958\Desktop\Copy of MICOLD~1.TDB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</si>
</sst>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0"/>
      <color indexed="8"/>
      <name val="Arial"/>
      <family val="2"/>
      <charset val="204"/>
    </font>
    <font>
      <sz val="11"/>
      <color indexed="8"/>
      <name val="Calibri"/>
      <family val="2"/>
      <charset val="204"/>
    </font>
    <font>
      <sz val="8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sz val="11"/>
      <color rgb="FF000000"/>
      <name val="Calibri"/>
      <family val="2"/>
      <charset val="204"/>
    </font>
    <font>
      <sz val="11"/>
      <color rgb="FF333333"/>
      <name val="Arial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2">
    <xf numFmtId="0" fontId="0" fillId="0" borderId="0"/>
    <xf numFmtId="0" fontId="1" fillId="0" borderId="0"/>
  </cellStyleXfs>
  <cellXfs count="8">
    <xf numFmtId="0" fontId="0" fillId="0" borderId="0" xfId="0"/>
    <xf numFmtId="0" fontId="2" fillId="2" borderId="1" xfId="1" applyFont="1" applyFill="1" applyBorder="1" applyAlignment="1">
      <alignment horizontal="center"/>
    </xf>
    <xf numFmtId="0" fontId="2" fillId="0" borderId="2" xfId="1" applyFont="1" applyFill="1" applyBorder="1" applyAlignment="1">
      <alignment wrapText="1"/>
    </xf>
    <xf numFmtId="0" fontId="0" fillId="3" borderId="0" xfId="0" applyFill="1"/>
    <xf numFmtId="0" fontId="0" fillId="0" borderId="0" xfId="0" applyNumberFormat="1"/>
    <xf numFmtId="0" fontId="4" fillId="0" borderId="0" xfId="0" applyFont="1"/>
    <xf numFmtId="0" fontId="5" fillId="0" borderId="0" xfId="0" applyFont="1" applyAlignment="1">
      <alignment vertical="center" wrapText="1"/>
    </xf>
    <xf numFmtId="0" fontId="7" fillId="0" borderId="0" xfId="0" applyFont="1"/>
  </cellXfs>
  <cellStyles count="2">
    <cellStyle name="Normal" xfId="0" builtinId="0"/>
    <cellStyle name="Normal_Sheet2" xfId="1" xr:uid="{00000000-0005-0000-0000-000001000000}"/>
  </cellStyles>
  <dxfs count="3">
    <dxf>
      <numFmt numFmtId="0" formatCode="General"/>
    </dxf>
    <dxf>
      <numFmt numFmtId="0" formatCode="General"/>
    </dxf>
    <dxf>
      <fill>
        <patternFill patternType="solid">
          <fgColor indexed="64"/>
          <bgColor theme="9" tint="0.599993896298104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114300</xdr:rowOff>
        </xdr:from>
        <xdr:to>
          <xdr:col>8</xdr:col>
          <xdr:colOff>142875</xdr:colOff>
          <xdr:row>3</xdr:row>
          <xdr:rowOff>19050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</xdr:row>
          <xdr:rowOff>76200</xdr:rowOff>
        </xdr:from>
        <xdr:to>
          <xdr:col>12</xdr:col>
          <xdr:colOff>57150</xdr:colOff>
          <xdr:row>3</xdr:row>
          <xdr:rowOff>190500</xdr:rowOff>
        </xdr:to>
        <xdr:sp macro="" textlink="">
          <xdr:nvSpPr>
            <xdr:cNvPr id="3076" name="Object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Soft\Excel%20nVent%20Tools\nVent%20Tool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ypicals"/>
      <sheetName val="Template"/>
      <sheetName val="Revision"/>
      <sheetName val="Template_Content"/>
      <sheetName val="Sheet1"/>
      <sheetName val="COPY_Path"/>
      <sheetName val="Sheet3"/>
      <sheetName val="Sheet4"/>
    </sheetNames>
    <definedNames>
      <definedName name="RefineMi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00000000-0016-0000-0100-000000000000}" autoFormatId="16" applyNumberFormats="0" applyBorderFormats="0" applyFontFormats="0" applyPatternFormats="0" applyAlignmentFormats="0" applyWidthHeightFormats="0">
  <queryTableRefresh nextId="17">
    <queryTableFields count="16">
      <queryTableField id="1" name="RecordID" tableColumnId="1"/>
      <queryTableField id="2" name="LineListRecordID" tableColumnId="2"/>
      <queryTableField id="3" name="TechType" tableColumnId="3"/>
      <queryTableField id="4" name="Family" tableColumnId="4"/>
      <queryTableField id="5" name="HeaterCatalogNo" tableColumnId="5"/>
      <queryTableField id="6" name="NumOfConductors" tableColumnId="6"/>
      <queryTableField id="7" name="ForceTechType" tableColumnId="7"/>
      <queryTableField id="8" name="ForceTraceRatio" tableColumnId="8"/>
      <queryTableField id="9" name="ForceFamily" tableColumnId="9"/>
      <queryTableField id="10" name="ForceHeater" tableColumnId="10"/>
      <queryTableField id="11" name="CalcCircuitStatus" tableColumnId="11"/>
      <queryTableField id="12" name="RecordStatus" tableColumnId="12"/>
      <queryTableField id="13" name="Length" tableColumnId="13"/>
      <queryTableField id="14" name="Voltage" tableColumnId="14"/>
      <queryTableField id="15" name="VoltageP2P" tableColumnId="15"/>
      <queryTableField id="16" name="VoltageP2G" tableColumnId="16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Path" displayName="Path" ref="A1:A2" totalsRowShown="0">
  <autoFilter ref="A1:A2" xr:uid="{00000000-0009-0000-0100-000001000000}"/>
  <tableColumns count="1">
    <tableColumn id="1" xr3:uid="{00000000-0010-0000-0000-000001000000}" name="Path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7" displayName="Table7" ref="F1:G12" totalsRowShown="0" headerRowDxfId="2">
  <autoFilter ref="F1:G12" xr:uid="{00000000-0009-0000-0100-000002000000}"/>
  <tableColumns count="2">
    <tableColumn id="1" xr3:uid="{00000000-0010-0000-0100-000001000000}" name="LineType"/>
    <tableColumn id="2" xr3:uid="{00000000-0010-0000-0100-000002000000}" name="Numbe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Merge" displayName="Merge" ref="A1:P31" tableType="queryTable" totalsRowShown="0">
  <autoFilter ref="A1:P31" xr:uid="{00000000-0009-0000-0100-000003000000}"/>
  <tableColumns count="16">
    <tableColumn id="1" xr3:uid="{00000000-0010-0000-0200-000001000000}" uniqueName="1" name="RecordID" queryTableFieldId="1"/>
    <tableColumn id="2" xr3:uid="{00000000-0010-0000-0200-000002000000}" uniqueName="2" name="LineListRecordID" queryTableFieldId="2"/>
    <tableColumn id="3" xr3:uid="{00000000-0010-0000-0200-000003000000}" uniqueName="3" name="TechType" queryTableFieldId="3"/>
    <tableColumn id="4" xr3:uid="{00000000-0010-0000-0200-000004000000}" uniqueName="4" name="Family" queryTableFieldId="4" dataDxfId="1"/>
    <tableColumn id="5" xr3:uid="{00000000-0010-0000-0200-000005000000}" uniqueName="5" name="HeaterCatalogNo" queryTableFieldId="5" dataDxfId="0"/>
    <tableColumn id="6" xr3:uid="{00000000-0010-0000-0200-000006000000}" uniqueName="6" name="NumOfConductors" queryTableFieldId="6"/>
    <tableColumn id="7" xr3:uid="{00000000-0010-0000-0200-000007000000}" uniqueName="7" name="ForceTechType" queryTableFieldId="7"/>
    <tableColumn id="8" xr3:uid="{00000000-0010-0000-0200-000008000000}" uniqueName="8" name="ForceTraceRatio" queryTableFieldId="8"/>
    <tableColumn id="9" xr3:uid="{00000000-0010-0000-0200-000009000000}" uniqueName="9" name="ForceFamily" queryTableFieldId="9"/>
    <tableColumn id="10" xr3:uid="{00000000-0010-0000-0200-00000A000000}" uniqueName="10" name="ForceHeater" queryTableFieldId="10"/>
    <tableColumn id="11" xr3:uid="{00000000-0010-0000-0200-00000B000000}" uniqueName="11" name="CalcCircuitStatus" queryTableFieldId="11"/>
    <tableColumn id="12" xr3:uid="{00000000-0010-0000-0200-00000C000000}" uniqueName="12" name="RecordStatus" queryTableFieldId="12"/>
    <tableColumn id="13" xr3:uid="{00000000-0010-0000-0200-00000D000000}" uniqueName="13" name="Length" queryTableFieldId="13"/>
    <tableColumn id="14" xr3:uid="{00000000-0010-0000-0200-00000E000000}" uniqueName="14" name="Voltage" queryTableFieldId="14"/>
    <tableColumn id="15" xr3:uid="{00000000-0010-0000-0200-00000F000000}" uniqueName="15" name="VoltageP2P" queryTableFieldId="15"/>
    <tableColumn id="16" xr3:uid="{00000000-0010-0000-0200-000010000000}" uniqueName="16" name="VoltageP2G" queryTableFieldId="1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542"/>
  <sheetViews>
    <sheetView workbookViewId="0">
      <selection sqref="A1:M31"/>
    </sheetView>
  </sheetViews>
  <sheetFormatPr defaultRowHeight="15" x14ac:dyDescent="0.25"/>
  <cols>
    <col min="1" max="1" width="58.7109375" bestFit="1" customWidth="1"/>
    <col min="2" max="2" width="21.42578125" customWidth="1"/>
    <col min="6" max="6" width="28.28515625" customWidth="1"/>
    <col min="7" max="7" width="10.42578125" customWidth="1"/>
    <col min="9" max="9" width="13.85546875" customWidth="1"/>
    <col min="10" max="10" width="15.140625" customWidth="1"/>
  </cols>
  <sheetData>
    <row r="1" spans="1:10" x14ac:dyDescent="0.25">
      <c r="A1" t="s">
        <v>477</v>
      </c>
      <c r="B1" t="s">
        <v>478</v>
      </c>
      <c r="F1" s="3" t="s">
        <v>479</v>
      </c>
      <c r="G1" s="3" t="s">
        <v>480</v>
      </c>
      <c r="I1" s="1" t="s">
        <v>0</v>
      </c>
      <c r="J1" s="1" t="s">
        <v>18</v>
      </c>
    </row>
    <row r="2" spans="1:10" x14ac:dyDescent="0.25">
      <c r="A2" t="s">
        <v>515</v>
      </c>
      <c r="B2" t="s">
        <v>481</v>
      </c>
      <c r="F2" t="s">
        <v>482</v>
      </c>
      <c r="G2">
        <v>0</v>
      </c>
      <c r="I2" s="2" t="s">
        <v>19</v>
      </c>
      <c r="J2" s="2" t="s">
        <v>20</v>
      </c>
    </row>
    <row r="3" spans="1:10" x14ac:dyDescent="0.25">
      <c r="F3" t="s">
        <v>483</v>
      </c>
      <c r="G3">
        <v>7</v>
      </c>
      <c r="I3" s="2" t="s">
        <v>19</v>
      </c>
      <c r="J3" s="2" t="s">
        <v>21</v>
      </c>
    </row>
    <row r="4" spans="1:10" x14ac:dyDescent="0.25">
      <c r="F4" t="s">
        <v>484</v>
      </c>
      <c r="G4">
        <v>12</v>
      </c>
      <c r="I4" s="2" t="s">
        <v>19</v>
      </c>
      <c r="J4" s="2" t="s">
        <v>22</v>
      </c>
    </row>
    <row r="5" spans="1:10" x14ac:dyDescent="0.25">
      <c r="F5" t="s">
        <v>485</v>
      </c>
      <c r="G5">
        <v>11</v>
      </c>
      <c r="I5" s="2" t="s">
        <v>19</v>
      </c>
      <c r="J5" s="2" t="s">
        <v>23</v>
      </c>
    </row>
    <row r="6" spans="1:10" x14ac:dyDescent="0.25">
      <c r="F6" t="s">
        <v>486</v>
      </c>
      <c r="G6">
        <v>10</v>
      </c>
      <c r="I6" s="2" t="s">
        <v>19</v>
      </c>
      <c r="J6" s="2" t="s">
        <v>24</v>
      </c>
    </row>
    <row r="7" spans="1:10" x14ac:dyDescent="0.25">
      <c r="F7" t="s">
        <v>487</v>
      </c>
      <c r="G7">
        <v>1</v>
      </c>
      <c r="I7" s="2" t="s">
        <v>19</v>
      </c>
      <c r="J7" s="2" t="s">
        <v>25</v>
      </c>
    </row>
    <row r="8" spans="1:10" x14ac:dyDescent="0.25">
      <c r="F8" t="s">
        <v>488</v>
      </c>
      <c r="G8">
        <v>2</v>
      </c>
      <c r="I8" s="2" t="s">
        <v>19</v>
      </c>
      <c r="J8" s="2" t="s">
        <v>26</v>
      </c>
    </row>
    <row r="9" spans="1:10" x14ac:dyDescent="0.25">
      <c r="F9" t="s">
        <v>489</v>
      </c>
      <c r="G9">
        <v>4</v>
      </c>
      <c r="I9" s="2" t="s">
        <v>19</v>
      </c>
      <c r="J9" s="2" t="s">
        <v>27</v>
      </c>
    </row>
    <row r="10" spans="1:10" x14ac:dyDescent="0.25">
      <c r="F10" t="s">
        <v>490</v>
      </c>
      <c r="G10">
        <v>3</v>
      </c>
      <c r="I10" s="2" t="s">
        <v>28</v>
      </c>
      <c r="J10" s="2" t="s">
        <v>29</v>
      </c>
    </row>
    <row r="11" spans="1:10" x14ac:dyDescent="0.25">
      <c r="F11" t="s">
        <v>491</v>
      </c>
      <c r="G11">
        <v>5</v>
      </c>
      <c r="I11" s="2" t="s">
        <v>28</v>
      </c>
      <c r="J11" s="2" t="s">
        <v>30</v>
      </c>
    </row>
    <row r="12" spans="1:10" x14ac:dyDescent="0.25">
      <c r="F12" t="s">
        <v>492</v>
      </c>
      <c r="G12">
        <v>6</v>
      </c>
      <c r="I12" s="2" t="s">
        <v>28</v>
      </c>
      <c r="J12" s="2" t="s">
        <v>31</v>
      </c>
    </row>
    <row r="13" spans="1:10" x14ac:dyDescent="0.25">
      <c r="I13" s="2" t="s">
        <v>32</v>
      </c>
      <c r="J13" s="2" t="s">
        <v>33</v>
      </c>
    </row>
    <row r="14" spans="1:10" x14ac:dyDescent="0.25">
      <c r="I14" s="2" t="s">
        <v>32</v>
      </c>
      <c r="J14" s="2" t="s">
        <v>34</v>
      </c>
    </row>
    <row r="15" spans="1:10" x14ac:dyDescent="0.25">
      <c r="I15" s="2" t="s">
        <v>32</v>
      </c>
      <c r="J15" s="2" t="s">
        <v>35</v>
      </c>
    </row>
    <row r="16" spans="1:10" x14ac:dyDescent="0.25">
      <c r="I16" s="2" t="s">
        <v>32</v>
      </c>
      <c r="J16" s="2" t="s">
        <v>36</v>
      </c>
    </row>
    <row r="17" spans="9:10" x14ac:dyDescent="0.25">
      <c r="I17" s="2" t="s">
        <v>32</v>
      </c>
      <c r="J17" s="2" t="s">
        <v>37</v>
      </c>
    </row>
    <row r="18" spans="9:10" x14ac:dyDescent="0.25">
      <c r="I18" s="2" t="s">
        <v>38</v>
      </c>
      <c r="J18" s="2" t="s">
        <v>39</v>
      </c>
    </row>
    <row r="19" spans="9:10" x14ac:dyDescent="0.25">
      <c r="I19" s="2" t="s">
        <v>38</v>
      </c>
      <c r="J19" s="2" t="s">
        <v>40</v>
      </c>
    </row>
    <row r="20" spans="9:10" x14ac:dyDescent="0.25">
      <c r="I20" s="2" t="s">
        <v>38</v>
      </c>
      <c r="J20" s="2" t="s">
        <v>41</v>
      </c>
    </row>
    <row r="21" spans="9:10" x14ac:dyDescent="0.25">
      <c r="I21" s="2" t="s">
        <v>38</v>
      </c>
      <c r="J21" s="2" t="s">
        <v>42</v>
      </c>
    </row>
    <row r="22" spans="9:10" x14ac:dyDescent="0.25">
      <c r="I22" s="2" t="s">
        <v>38</v>
      </c>
      <c r="J22" s="2" t="s">
        <v>43</v>
      </c>
    </row>
    <row r="23" spans="9:10" x14ac:dyDescent="0.25">
      <c r="I23" s="2" t="s">
        <v>38</v>
      </c>
      <c r="J23" s="2" t="s">
        <v>44</v>
      </c>
    </row>
    <row r="24" spans="9:10" x14ac:dyDescent="0.25">
      <c r="I24" s="2" t="s">
        <v>38</v>
      </c>
      <c r="J24" s="2" t="s">
        <v>45</v>
      </c>
    </row>
    <row r="25" spans="9:10" x14ac:dyDescent="0.25">
      <c r="I25" s="2" t="s">
        <v>38</v>
      </c>
      <c r="J25" s="2" t="s">
        <v>46</v>
      </c>
    </row>
    <row r="26" spans="9:10" x14ac:dyDescent="0.25">
      <c r="I26" s="2" t="s">
        <v>47</v>
      </c>
      <c r="J26" s="2" t="s">
        <v>48</v>
      </c>
    </row>
    <row r="27" spans="9:10" x14ac:dyDescent="0.25">
      <c r="I27" s="2" t="s">
        <v>47</v>
      </c>
      <c r="J27" s="2" t="s">
        <v>49</v>
      </c>
    </row>
    <row r="28" spans="9:10" x14ac:dyDescent="0.25">
      <c r="I28" s="2" t="s">
        <v>47</v>
      </c>
      <c r="J28" s="2" t="s">
        <v>50</v>
      </c>
    </row>
    <row r="29" spans="9:10" x14ac:dyDescent="0.25">
      <c r="I29" s="2" t="s">
        <v>47</v>
      </c>
      <c r="J29" s="2" t="s">
        <v>51</v>
      </c>
    </row>
    <row r="30" spans="9:10" x14ac:dyDescent="0.25">
      <c r="I30" s="2" t="s">
        <v>52</v>
      </c>
      <c r="J30" s="2" t="s">
        <v>53</v>
      </c>
    </row>
    <row r="31" spans="9:10" x14ac:dyDescent="0.25">
      <c r="I31" s="2" t="s">
        <v>52</v>
      </c>
      <c r="J31" s="2" t="s">
        <v>54</v>
      </c>
    </row>
    <row r="32" spans="9:10" x14ac:dyDescent="0.25">
      <c r="I32" s="2" t="s">
        <v>52</v>
      </c>
      <c r="J32" s="2" t="s">
        <v>55</v>
      </c>
    </row>
    <row r="33" spans="9:10" x14ac:dyDescent="0.25">
      <c r="I33" s="2" t="s">
        <v>52</v>
      </c>
      <c r="J33" s="2" t="s">
        <v>56</v>
      </c>
    </row>
    <row r="34" spans="9:10" x14ac:dyDescent="0.25">
      <c r="I34" s="2" t="s">
        <v>52</v>
      </c>
      <c r="J34" s="2" t="s">
        <v>57</v>
      </c>
    </row>
    <row r="35" spans="9:10" x14ac:dyDescent="0.25">
      <c r="I35" s="2" t="s">
        <v>52</v>
      </c>
      <c r="J35" s="2" t="s">
        <v>58</v>
      </c>
    </row>
    <row r="36" spans="9:10" x14ac:dyDescent="0.25">
      <c r="I36" s="2" t="s">
        <v>52</v>
      </c>
      <c r="J36" s="2" t="s">
        <v>59</v>
      </c>
    </row>
    <row r="37" spans="9:10" x14ac:dyDescent="0.25">
      <c r="I37" s="2" t="s">
        <v>52</v>
      </c>
      <c r="J37" s="2" t="s">
        <v>60</v>
      </c>
    </row>
    <row r="38" spans="9:10" x14ac:dyDescent="0.25">
      <c r="I38" s="2" t="s">
        <v>52</v>
      </c>
      <c r="J38" s="2" t="s">
        <v>61</v>
      </c>
    </row>
    <row r="39" spans="9:10" x14ac:dyDescent="0.25">
      <c r="I39" s="2" t="s">
        <v>52</v>
      </c>
      <c r="J39" s="2" t="s">
        <v>62</v>
      </c>
    </row>
    <row r="40" spans="9:10" x14ac:dyDescent="0.25">
      <c r="I40" s="2" t="s">
        <v>63</v>
      </c>
      <c r="J40" s="2" t="s">
        <v>64</v>
      </c>
    </row>
    <row r="41" spans="9:10" x14ac:dyDescent="0.25">
      <c r="I41" s="2" t="s">
        <v>63</v>
      </c>
      <c r="J41" s="2" t="s">
        <v>65</v>
      </c>
    </row>
    <row r="42" spans="9:10" x14ac:dyDescent="0.25">
      <c r="I42" s="2" t="s">
        <v>63</v>
      </c>
      <c r="J42" s="2" t="s">
        <v>66</v>
      </c>
    </row>
    <row r="43" spans="9:10" x14ac:dyDescent="0.25">
      <c r="I43" s="2" t="s">
        <v>63</v>
      </c>
      <c r="J43" s="2" t="s">
        <v>67</v>
      </c>
    </row>
    <row r="44" spans="9:10" x14ac:dyDescent="0.25">
      <c r="I44" s="2" t="s">
        <v>63</v>
      </c>
      <c r="J44" s="2" t="s">
        <v>68</v>
      </c>
    </row>
    <row r="45" spans="9:10" x14ac:dyDescent="0.25">
      <c r="I45" s="2" t="s">
        <v>63</v>
      </c>
      <c r="J45" s="2" t="s">
        <v>69</v>
      </c>
    </row>
    <row r="46" spans="9:10" x14ac:dyDescent="0.25">
      <c r="I46" s="2" t="s">
        <v>63</v>
      </c>
      <c r="J46" s="2" t="s">
        <v>70</v>
      </c>
    </row>
    <row r="47" spans="9:10" x14ac:dyDescent="0.25">
      <c r="I47" s="2" t="s">
        <v>63</v>
      </c>
      <c r="J47" s="2" t="s">
        <v>71</v>
      </c>
    </row>
    <row r="48" spans="9:10" x14ac:dyDescent="0.25">
      <c r="I48" s="2" t="s">
        <v>63</v>
      </c>
      <c r="J48" s="2" t="s">
        <v>72</v>
      </c>
    </row>
    <row r="49" spans="9:10" x14ac:dyDescent="0.25">
      <c r="I49" s="2" t="s">
        <v>63</v>
      </c>
      <c r="J49" s="2" t="s">
        <v>73</v>
      </c>
    </row>
    <row r="50" spans="9:10" x14ac:dyDescent="0.25">
      <c r="I50" s="2" t="s">
        <v>63</v>
      </c>
      <c r="J50" s="2" t="s">
        <v>74</v>
      </c>
    </row>
    <row r="51" spans="9:10" x14ac:dyDescent="0.25">
      <c r="I51" s="2" t="s">
        <v>63</v>
      </c>
      <c r="J51" s="2" t="s">
        <v>75</v>
      </c>
    </row>
    <row r="52" spans="9:10" x14ac:dyDescent="0.25">
      <c r="I52" s="2" t="s">
        <v>63</v>
      </c>
      <c r="J52" s="2" t="s">
        <v>76</v>
      </c>
    </row>
    <row r="53" spans="9:10" x14ac:dyDescent="0.25">
      <c r="I53" s="2" t="s">
        <v>63</v>
      </c>
      <c r="J53" s="2" t="s">
        <v>77</v>
      </c>
    </row>
    <row r="54" spans="9:10" x14ac:dyDescent="0.25">
      <c r="I54" s="2" t="s">
        <v>63</v>
      </c>
      <c r="J54" s="2" t="s">
        <v>78</v>
      </c>
    </row>
    <row r="55" spans="9:10" x14ac:dyDescent="0.25">
      <c r="I55" s="2" t="s">
        <v>63</v>
      </c>
      <c r="J55" s="2" t="s">
        <v>79</v>
      </c>
    </row>
    <row r="56" spans="9:10" x14ac:dyDescent="0.25">
      <c r="I56" s="2" t="s">
        <v>63</v>
      </c>
      <c r="J56" s="2" t="s">
        <v>80</v>
      </c>
    </row>
    <row r="57" spans="9:10" x14ac:dyDescent="0.25">
      <c r="I57" s="2" t="s">
        <v>63</v>
      </c>
      <c r="J57" s="2" t="s">
        <v>81</v>
      </c>
    </row>
    <row r="58" spans="9:10" x14ac:dyDescent="0.25">
      <c r="I58" s="2" t="s">
        <v>63</v>
      </c>
      <c r="J58" s="2" t="s">
        <v>82</v>
      </c>
    </row>
    <row r="59" spans="9:10" x14ac:dyDescent="0.25">
      <c r="I59" s="2" t="s">
        <v>63</v>
      </c>
      <c r="J59" s="2" t="s">
        <v>83</v>
      </c>
    </row>
    <row r="60" spans="9:10" x14ac:dyDescent="0.25">
      <c r="I60" s="2" t="s">
        <v>63</v>
      </c>
      <c r="J60" s="2" t="s">
        <v>84</v>
      </c>
    </row>
    <row r="61" spans="9:10" x14ac:dyDescent="0.25">
      <c r="I61" s="2" t="s">
        <v>63</v>
      </c>
      <c r="J61" s="2" t="s">
        <v>85</v>
      </c>
    </row>
    <row r="62" spans="9:10" x14ac:dyDescent="0.25">
      <c r="I62" s="2" t="s">
        <v>63</v>
      </c>
      <c r="J62" s="2" t="s">
        <v>86</v>
      </c>
    </row>
    <row r="63" spans="9:10" x14ac:dyDescent="0.25">
      <c r="I63" s="2" t="s">
        <v>19</v>
      </c>
      <c r="J63" s="2" t="s">
        <v>87</v>
      </c>
    </row>
    <row r="64" spans="9:10" x14ac:dyDescent="0.25">
      <c r="I64" s="2" t="s">
        <v>19</v>
      </c>
      <c r="J64" s="2" t="s">
        <v>88</v>
      </c>
    </row>
    <row r="65" spans="9:10" x14ac:dyDescent="0.25">
      <c r="I65" s="2" t="s">
        <v>19</v>
      </c>
      <c r="J65" s="2" t="s">
        <v>89</v>
      </c>
    </row>
    <row r="66" spans="9:10" x14ac:dyDescent="0.25">
      <c r="I66" s="2" t="s">
        <v>19</v>
      </c>
      <c r="J66" s="2" t="s">
        <v>90</v>
      </c>
    </row>
    <row r="67" spans="9:10" x14ac:dyDescent="0.25">
      <c r="I67" s="2" t="s">
        <v>19</v>
      </c>
      <c r="J67" s="2" t="s">
        <v>91</v>
      </c>
    </row>
    <row r="68" spans="9:10" x14ac:dyDescent="0.25">
      <c r="I68" s="2" t="s">
        <v>19</v>
      </c>
      <c r="J68" s="2" t="s">
        <v>92</v>
      </c>
    </row>
    <row r="69" spans="9:10" x14ac:dyDescent="0.25">
      <c r="I69" s="2" t="s">
        <v>19</v>
      </c>
      <c r="J69" s="2" t="s">
        <v>93</v>
      </c>
    </row>
    <row r="70" spans="9:10" x14ac:dyDescent="0.25">
      <c r="I70" s="2" t="s">
        <v>19</v>
      </c>
      <c r="J70" s="2" t="s">
        <v>94</v>
      </c>
    </row>
    <row r="71" spans="9:10" x14ac:dyDescent="0.25">
      <c r="I71" s="2" t="s">
        <v>19</v>
      </c>
      <c r="J71" s="2" t="s">
        <v>20</v>
      </c>
    </row>
    <row r="72" spans="9:10" x14ac:dyDescent="0.25">
      <c r="I72" s="2" t="s">
        <v>19</v>
      </c>
      <c r="J72" s="2" t="s">
        <v>21</v>
      </c>
    </row>
    <row r="73" spans="9:10" x14ac:dyDescent="0.25">
      <c r="I73" s="2" t="s">
        <v>19</v>
      </c>
      <c r="J73" s="2" t="s">
        <v>22</v>
      </c>
    </row>
    <row r="74" spans="9:10" x14ac:dyDescent="0.25">
      <c r="I74" s="2" t="s">
        <v>19</v>
      </c>
      <c r="J74" s="2" t="s">
        <v>23</v>
      </c>
    </row>
    <row r="75" spans="9:10" x14ac:dyDescent="0.25">
      <c r="I75" s="2" t="s">
        <v>19</v>
      </c>
      <c r="J75" s="2" t="s">
        <v>24</v>
      </c>
    </row>
    <row r="76" spans="9:10" x14ac:dyDescent="0.25">
      <c r="I76" s="2" t="s">
        <v>19</v>
      </c>
      <c r="J76" s="2" t="s">
        <v>25</v>
      </c>
    </row>
    <row r="77" spans="9:10" x14ac:dyDescent="0.25">
      <c r="I77" s="2" t="s">
        <v>19</v>
      </c>
      <c r="J77" s="2" t="s">
        <v>26</v>
      </c>
    </row>
    <row r="78" spans="9:10" x14ac:dyDescent="0.25">
      <c r="I78" s="2" t="s">
        <v>19</v>
      </c>
      <c r="J78" s="2" t="s">
        <v>27</v>
      </c>
    </row>
    <row r="79" spans="9:10" x14ac:dyDescent="0.25">
      <c r="I79" s="2" t="s">
        <v>19</v>
      </c>
      <c r="J79" s="2" t="s">
        <v>95</v>
      </c>
    </row>
    <row r="80" spans="9:10" x14ac:dyDescent="0.25">
      <c r="I80" s="2" t="s">
        <v>19</v>
      </c>
      <c r="J80" s="2" t="s">
        <v>96</v>
      </c>
    </row>
    <row r="81" spans="9:10" x14ac:dyDescent="0.25">
      <c r="I81" s="2" t="s">
        <v>19</v>
      </c>
      <c r="J81" s="2" t="s">
        <v>97</v>
      </c>
    </row>
    <row r="82" spans="9:10" x14ac:dyDescent="0.25">
      <c r="I82" s="2" t="s">
        <v>19</v>
      </c>
      <c r="J82" s="2" t="s">
        <v>98</v>
      </c>
    </row>
    <row r="83" spans="9:10" x14ac:dyDescent="0.25">
      <c r="I83" s="2" t="s">
        <v>19</v>
      </c>
      <c r="J83" s="2" t="s">
        <v>99</v>
      </c>
    </row>
    <row r="84" spans="9:10" x14ac:dyDescent="0.25">
      <c r="I84" s="2" t="s">
        <v>19</v>
      </c>
      <c r="J84" s="2" t="s">
        <v>100</v>
      </c>
    </row>
    <row r="85" spans="9:10" x14ac:dyDescent="0.25">
      <c r="I85" s="2" t="s">
        <v>19</v>
      </c>
      <c r="J85" s="2" t="s">
        <v>101</v>
      </c>
    </row>
    <row r="86" spans="9:10" x14ac:dyDescent="0.25">
      <c r="I86" s="2" t="s">
        <v>102</v>
      </c>
      <c r="J86" s="2" t="s">
        <v>103</v>
      </c>
    </row>
    <row r="87" spans="9:10" x14ac:dyDescent="0.25">
      <c r="I87" s="2" t="s">
        <v>102</v>
      </c>
      <c r="J87" s="2" t="s">
        <v>104</v>
      </c>
    </row>
    <row r="88" spans="9:10" x14ac:dyDescent="0.25">
      <c r="I88" s="2" t="s">
        <v>102</v>
      </c>
      <c r="J88" s="2" t="s">
        <v>105</v>
      </c>
    </row>
    <row r="89" spans="9:10" x14ac:dyDescent="0.25">
      <c r="I89" s="2" t="s">
        <v>102</v>
      </c>
      <c r="J89" s="2" t="s">
        <v>106</v>
      </c>
    </row>
    <row r="90" spans="9:10" x14ac:dyDescent="0.25">
      <c r="I90" s="2" t="s">
        <v>102</v>
      </c>
      <c r="J90" s="2" t="s">
        <v>107</v>
      </c>
    </row>
    <row r="91" spans="9:10" x14ac:dyDescent="0.25">
      <c r="I91" s="2" t="s">
        <v>102</v>
      </c>
      <c r="J91" s="2" t="s">
        <v>108</v>
      </c>
    </row>
    <row r="92" spans="9:10" x14ac:dyDescent="0.25">
      <c r="I92" s="2" t="s">
        <v>102</v>
      </c>
      <c r="J92" s="2" t="s">
        <v>109</v>
      </c>
    </row>
    <row r="93" spans="9:10" x14ac:dyDescent="0.25">
      <c r="I93" s="2" t="s">
        <v>102</v>
      </c>
      <c r="J93" s="2" t="s">
        <v>110</v>
      </c>
    </row>
    <row r="94" spans="9:10" x14ac:dyDescent="0.25">
      <c r="I94" s="2" t="s">
        <v>102</v>
      </c>
      <c r="J94" s="2" t="s">
        <v>111</v>
      </c>
    </row>
    <row r="95" spans="9:10" x14ac:dyDescent="0.25">
      <c r="I95" s="2" t="s">
        <v>102</v>
      </c>
      <c r="J95" s="2" t="s">
        <v>112</v>
      </c>
    </row>
    <row r="96" spans="9:10" x14ac:dyDescent="0.25">
      <c r="I96" s="2" t="s">
        <v>102</v>
      </c>
      <c r="J96" s="2" t="s">
        <v>113</v>
      </c>
    </row>
    <row r="97" spans="9:10" x14ac:dyDescent="0.25">
      <c r="I97" s="2" t="s">
        <v>102</v>
      </c>
      <c r="J97" s="2" t="s">
        <v>114</v>
      </c>
    </row>
    <row r="98" spans="9:10" x14ac:dyDescent="0.25">
      <c r="I98" s="2" t="s">
        <v>102</v>
      </c>
      <c r="J98" s="2" t="s">
        <v>115</v>
      </c>
    </row>
    <row r="99" spans="9:10" x14ac:dyDescent="0.25">
      <c r="I99" s="2" t="s">
        <v>102</v>
      </c>
      <c r="J99" s="2" t="s">
        <v>116</v>
      </c>
    </row>
    <row r="100" spans="9:10" x14ac:dyDescent="0.25">
      <c r="I100" s="2" t="s">
        <v>102</v>
      </c>
      <c r="J100" s="2" t="s">
        <v>117</v>
      </c>
    </row>
    <row r="101" spans="9:10" x14ac:dyDescent="0.25">
      <c r="I101" s="2" t="s">
        <v>102</v>
      </c>
      <c r="J101" s="2" t="s">
        <v>118</v>
      </c>
    </row>
    <row r="102" spans="9:10" x14ac:dyDescent="0.25">
      <c r="I102" s="2" t="s">
        <v>102</v>
      </c>
      <c r="J102" s="2" t="s">
        <v>119</v>
      </c>
    </row>
    <row r="103" spans="9:10" x14ac:dyDescent="0.25">
      <c r="I103" s="2" t="s">
        <v>102</v>
      </c>
      <c r="J103" s="2" t="s">
        <v>120</v>
      </c>
    </row>
    <row r="104" spans="9:10" x14ac:dyDescent="0.25">
      <c r="I104" s="2" t="s">
        <v>102</v>
      </c>
      <c r="J104" s="2" t="s">
        <v>121</v>
      </c>
    </row>
    <row r="105" spans="9:10" x14ac:dyDescent="0.25">
      <c r="I105" s="2" t="s">
        <v>102</v>
      </c>
      <c r="J105" s="2" t="s">
        <v>122</v>
      </c>
    </row>
    <row r="106" spans="9:10" x14ac:dyDescent="0.25">
      <c r="I106" s="2" t="s">
        <v>102</v>
      </c>
      <c r="J106" s="2" t="s">
        <v>123</v>
      </c>
    </row>
    <row r="107" spans="9:10" x14ac:dyDescent="0.25">
      <c r="I107" s="2" t="s">
        <v>102</v>
      </c>
      <c r="J107" s="2" t="s">
        <v>124</v>
      </c>
    </row>
    <row r="108" spans="9:10" x14ac:dyDescent="0.25">
      <c r="I108" s="2" t="s">
        <v>102</v>
      </c>
      <c r="J108" s="2" t="s">
        <v>125</v>
      </c>
    </row>
    <row r="109" spans="9:10" x14ac:dyDescent="0.25">
      <c r="I109" s="2" t="s">
        <v>102</v>
      </c>
      <c r="J109" s="2" t="s">
        <v>126</v>
      </c>
    </row>
    <row r="110" spans="9:10" x14ac:dyDescent="0.25">
      <c r="I110" s="2" t="s">
        <v>102</v>
      </c>
      <c r="J110" s="2" t="s">
        <v>127</v>
      </c>
    </row>
    <row r="111" spans="9:10" x14ac:dyDescent="0.25">
      <c r="I111" s="2" t="s">
        <v>102</v>
      </c>
      <c r="J111" s="2" t="s">
        <v>128</v>
      </c>
    </row>
    <row r="112" spans="9:10" x14ac:dyDescent="0.25">
      <c r="I112" s="2" t="s">
        <v>102</v>
      </c>
      <c r="J112" s="2" t="s">
        <v>129</v>
      </c>
    </row>
    <row r="113" spans="9:10" x14ac:dyDescent="0.25">
      <c r="I113" s="2" t="s">
        <v>102</v>
      </c>
      <c r="J113" s="2" t="s">
        <v>130</v>
      </c>
    </row>
    <row r="114" spans="9:10" x14ac:dyDescent="0.25">
      <c r="I114" s="2" t="s">
        <v>102</v>
      </c>
      <c r="J114" s="2" t="s">
        <v>131</v>
      </c>
    </row>
    <row r="115" spans="9:10" x14ac:dyDescent="0.25">
      <c r="I115" s="2" t="s">
        <v>102</v>
      </c>
      <c r="J115" s="2" t="s">
        <v>132</v>
      </c>
    </row>
    <row r="116" spans="9:10" x14ac:dyDescent="0.25">
      <c r="I116" s="2" t="s">
        <v>102</v>
      </c>
      <c r="J116" s="2" t="s">
        <v>133</v>
      </c>
    </row>
    <row r="117" spans="9:10" x14ac:dyDescent="0.25">
      <c r="I117" s="2" t="s">
        <v>102</v>
      </c>
      <c r="J117" s="2" t="s">
        <v>134</v>
      </c>
    </row>
    <row r="118" spans="9:10" x14ac:dyDescent="0.25">
      <c r="I118" s="2" t="s">
        <v>102</v>
      </c>
      <c r="J118" s="2" t="s">
        <v>135</v>
      </c>
    </row>
    <row r="119" spans="9:10" x14ac:dyDescent="0.25">
      <c r="I119" s="2" t="s">
        <v>102</v>
      </c>
      <c r="J119" s="2" t="s">
        <v>136</v>
      </c>
    </row>
    <row r="120" spans="9:10" x14ac:dyDescent="0.25">
      <c r="I120" s="2" t="s">
        <v>102</v>
      </c>
      <c r="J120" s="2" t="s">
        <v>137</v>
      </c>
    </row>
    <row r="121" spans="9:10" x14ac:dyDescent="0.25">
      <c r="I121" s="2" t="s">
        <v>102</v>
      </c>
      <c r="J121" s="2" t="s">
        <v>138</v>
      </c>
    </row>
    <row r="122" spans="9:10" x14ac:dyDescent="0.25">
      <c r="I122" s="2" t="s">
        <v>102</v>
      </c>
      <c r="J122" s="2" t="s">
        <v>139</v>
      </c>
    </row>
    <row r="123" spans="9:10" x14ac:dyDescent="0.25">
      <c r="I123" s="2" t="s">
        <v>102</v>
      </c>
      <c r="J123" s="2" t="s">
        <v>140</v>
      </c>
    </row>
    <row r="124" spans="9:10" x14ac:dyDescent="0.25">
      <c r="I124" s="2" t="s">
        <v>102</v>
      </c>
      <c r="J124" s="2" t="s">
        <v>141</v>
      </c>
    </row>
    <row r="125" spans="9:10" x14ac:dyDescent="0.25">
      <c r="I125" s="2" t="s">
        <v>28</v>
      </c>
      <c r="J125" s="2" t="s">
        <v>142</v>
      </c>
    </row>
    <row r="126" spans="9:10" x14ac:dyDescent="0.25">
      <c r="I126" s="2" t="s">
        <v>28</v>
      </c>
      <c r="J126" s="2" t="s">
        <v>143</v>
      </c>
    </row>
    <row r="127" spans="9:10" x14ac:dyDescent="0.25">
      <c r="I127" s="2" t="s">
        <v>28</v>
      </c>
      <c r="J127" s="2" t="s">
        <v>144</v>
      </c>
    </row>
    <row r="128" spans="9:10" x14ac:dyDescent="0.25">
      <c r="I128" s="2" t="s">
        <v>28</v>
      </c>
      <c r="J128" s="2" t="s">
        <v>29</v>
      </c>
    </row>
    <row r="129" spans="9:10" x14ac:dyDescent="0.25">
      <c r="I129" s="2" t="s">
        <v>28</v>
      </c>
      <c r="J129" s="2" t="s">
        <v>30</v>
      </c>
    </row>
    <row r="130" spans="9:10" x14ac:dyDescent="0.25">
      <c r="I130" s="2" t="s">
        <v>28</v>
      </c>
      <c r="J130" s="2" t="s">
        <v>31</v>
      </c>
    </row>
    <row r="131" spans="9:10" x14ac:dyDescent="0.25">
      <c r="I131" s="2" t="s">
        <v>28</v>
      </c>
      <c r="J131" s="2" t="s">
        <v>145</v>
      </c>
    </row>
    <row r="132" spans="9:10" x14ac:dyDescent="0.25">
      <c r="I132" s="2" t="s">
        <v>28</v>
      </c>
      <c r="J132" s="2" t="s">
        <v>146</v>
      </c>
    </row>
    <row r="133" spans="9:10" x14ac:dyDescent="0.25">
      <c r="I133" s="2" t="s">
        <v>28</v>
      </c>
      <c r="J133" s="2" t="s">
        <v>147</v>
      </c>
    </row>
    <row r="134" spans="9:10" x14ac:dyDescent="0.25">
      <c r="I134" s="2" t="s">
        <v>28</v>
      </c>
      <c r="J134" s="2" t="s">
        <v>148</v>
      </c>
    </row>
    <row r="135" spans="9:10" ht="30" x14ac:dyDescent="0.25">
      <c r="I135" s="2" t="s">
        <v>149</v>
      </c>
      <c r="J135" s="2" t="s">
        <v>105</v>
      </c>
    </row>
    <row r="136" spans="9:10" ht="30" x14ac:dyDescent="0.25">
      <c r="I136" s="2" t="s">
        <v>149</v>
      </c>
      <c r="J136" s="2" t="s">
        <v>104</v>
      </c>
    </row>
    <row r="137" spans="9:10" ht="30" x14ac:dyDescent="0.25">
      <c r="I137" s="2" t="s">
        <v>149</v>
      </c>
      <c r="J137" s="2" t="s">
        <v>107</v>
      </c>
    </row>
    <row r="138" spans="9:10" ht="30" x14ac:dyDescent="0.25">
      <c r="I138" s="2" t="s">
        <v>149</v>
      </c>
      <c r="J138" s="2" t="s">
        <v>103</v>
      </c>
    </row>
    <row r="139" spans="9:10" ht="30" x14ac:dyDescent="0.25">
      <c r="I139" s="2" t="s">
        <v>149</v>
      </c>
      <c r="J139" s="2" t="s">
        <v>106</v>
      </c>
    </row>
    <row r="140" spans="9:10" ht="30" x14ac:dyDescent="0.25">
      <c r="I140" s="2" t="s">
        <v>149</v>
      </c>
      <c r="J140" s="2" t="s">
        <v>108</v>
      </c>
    </row>
    <row r="141" spans="9:10" ht="30" x14ac:dyDescent="0.25">
      <c r="I141" s="2" t="s">
        <v>149</v>
      </c>
      <c r="J141" s="2" t="s">
        <v>109</v>
      </c>
    </row>
    <row r="142" spans="9:10" ht="30" x14ac:dyDescent="0.25">
      <c r="I142" s="2" t="s">
        <v>149</v>
      </c>
      <c r="J142" s="2" t="s">
        <v>110</v>
      </c>
    </row>
    <row r="143" spans="9:10" ht="30" x14ac:dyDescent="0.25">
      <c r="I143" s="2" t="s">
        <v>149</v>
      </c>
      <c r="J143" s="2" t="s">
        <v>111</v>
      </c>
    </row>
    <row r="144" spans="9:10" ht="30" x14ac:dyDescent="0.25">
      <c r="I144" s="2" t="s">
        <v>149</v>
      </c>
      <c r="J144" s="2" t="s">
        <v>112</v>
      </c>
    </row>
    <row r="145" spans="9:10" ht="30" x14ac:dyDescent="0.25">
      <c r="I145" s="2" t="s">
        <v>149</v>
      </c>
      <c r="J145" s="2" t="s">
        <v>113</v>
      </c>
    </row>
    <row r="146" spans="9:10" ht="30" x14ac:dyDescent="0.25">
      <c r="I146" s="2" t="s">
        <v>149</v>
      </c>
      <c r="J146" s="2" t="s">
        <v>114</v>
      </c>
    </row>
    <row r="147" spans="9:10" ht="30" x14ac:dyDescent="0.25">
      <c r="I147" s="2" t="s">
        <v>149</v>
      </c>
      <c r="J147" s="2" t="s">
        <v>115</v>
      </c>
    </row>
    <row r="148" spans="9:10" ht="30" x14ac:dyDescent="0.25">
      <c r="I148" s="2" t="s">
        <v>149</v>
      </c>
      <c r="J148" s="2" t="s">
        <v>116</v>
      </c>
    </row>
    <row r="149" spans="9:10" ht="30" x14ac:dyDescent="0.25">
      <c r="I149" s="2" t="s">
        <v>149</v>
      </c>
      <c r="J149" s="2" t="s">
        <v>117</v>
      </c>
    </row>
    <row r="150" spans="9:10" ht="30" x14ac:dyDescent="0.25">
      <c r="I150" s="2" t="s">
        <v>149</v>
      </c>
      <c r="J150" s="2" t="s">
        <v>118</v>
      </c>
    </row>
    <row r="151" spans="9:10" ht="30" x14ac:dyDescent="0.25">
      <c r="I151" s="2" t="s">
        <v>149</v>
      </c>
      <c r="J151" s="2" t="s">
        <v>119</v>
      </c>
    </row>
    <row r="152" spans="9:10" ht="30" x14ac:dyDescent="0.25">
      <c r="I152" s="2" t="s">
        <v>149</v>
      </c>
      <c r="J152" s="2" t="s">
        <v>120</v>
      </c>
    </row>
    <row r="153" spans="9:10" ht="30" x14ac:dyDescent="0.25">
      <c r="I153" s="2" t="s">
        <v>149</v>
      </c>
      <c r="J153" s="2" t="s">
        <v>121</v>
      </c>
    </row>
    <row r="154" spans="9:10" ht="30" x14ac:dyDescent="0.25">
      <c r="I154" s="2" t="s">
        <v>149</v>
      </c>
      <c r="J154" s="2" t="s">
        <v>122</v>
      </c>
    </row>
    <row r="155" spans="9:10" ht="30" x14ac:dyDescent="0.25">
      <c r="I155" s="2" t="s">
        <v>149</v>
      </c>
      <c r="J155" s="2" t="s">
        <v>123</v>
      </c>
    </row>
    <row r="156" spans="9:10" ht="30" x14ac:dyDescent="0.25">
      <c r="I156" s="2" t="s">
        <v>149</v>
      </c>
      <c r="J156" s="2" t="s">
        <v>124</v>
      </c>
    </row>
    <row r="157" spans="9:10" ht="30" x14ac:dyDescent="0.25">
      <c r="I157" s="2" t="s">
        <v>149</v>
      </c>
      <c r="J157" s="2" t="s">
        <v>125</v>
      </c>
    </row>
    <row r="158" spans="9:10" ht="30" x14ac:dyDescent="0.25">
      <c r="I158" s="2" t="s">
        <v>149</v>
      </c>
      <c r="J158" s="2" t="s">
        <v>150</v>
      </c>
    </row>
    <row r="159" spans="9:10" ht="30" x14ac:dyDescent="0.25">
      <c r="I159" s="2" t="s">
        <v>149</v>
      </c>
      <c r="J159" s="2" t="s">
        <v>151</v>
      </c>
    </row>
    <row r="160" spans="9:10" ht="30" x14ac:dyDescent="0.25">
      <c r="I160" s="2" t="s">
        <v>149</v>
      </c>
      <c r="J160" s="2" t="s">
        <v>152</v>
      </c>
    </row>
    <row r="161" spans="9:10" ht="30" x14ac:dyDescent="0.25">
      <c r="I161" s="2" t="s">
        <v>149</v>
      </c>
      <c r="J161" s="2" t="s">
        <v>153</v>
      </c>
    </row>
    <row r="162" spans="9:10" ht="30" x14ac:dyDescent="0.25">
      <c r="I162" s="2" t="s">
        <v>149</v>
      </c>
      <c r="J162" s="2" t="s">
        <v>154</v>
      </c>
    </row>
    <row r="163" spans="9:10" ht="30" x14ac:dyDescent="0.25">
      <c r="I163" s="2" t="s">
        <v>149</v>
      </c>
      <c r="J163" s="2" t="s">
        <v>126</v>
      </c>
    </row>
    <row r="164" spans="9:10" ht="30" x14ac:dyDescent="0.25">
      <c r="I164" s="2" t="s">
        <v>149</v>
      </c>
      <c r="J164" s="2" t="s">
        <v>155</v>
      </c>
    </row>
    <row r="165" spans="9:10" ht="30" x14ac:dyDescent="0.25">
      <c r="I165" s="2" t="s">
        <v>149</v>
      </c>
      <c r="J165" s="2" t="s">
        <v>156</v>
      </c>
    </row>
    <row r="166" spans="9:10" ht="30" x14ac:dyDescent="0.25">
      <c r="I166" s="2" t="s">
        <v>149</v>
      </c>
      <c r="J166" s="2" t="s">
        <v>157</v>
      </c>
    </row>
    <row r="167" spans="9:10" ht="30" x14ac:dyDescent="0.25">
      <c r="I167" s="2" t="s">
        <v>149</v>
      </c>
      <c r="J167" s="2" t="s">
        <v>158</v>
      </c>
    </row>
    <row r="168" spans="9:10" ht="30" x14ac:dyDescent="0.25">
      <c r="I168" s="2" t="s">
        <v>149</v>
      </c>
      <c r="J168" s="2" t="s">
        <v>127</v>
      </c>
    </row>
    <row r="169" spans="9:10" ht="30" x14ac:dyDescent="0.25">
      <c r="I169" s="2" t="s">
        <v>149</v>
      </c>
      <c r="J169" s="2" t="s">
        <v>128</v>
      </c>
    </row>
    <row r="170" spans="9:10" ht="30" x14ac:dyDescent="0.25">
      <c r="I170" s="2" t="s">
        <v>149</v>
      </c>
      <c r="J170" s="2" t="s">
        <v>129</v>
      </c>
    </row>
    <row r="171" spans="9:10" ht="30" x14ac:dyDescent="0.25">
      <c r="I171" s="2" t="s">
        <v>149</v>
      </c>
      <c r="J171" s="2" t="s">
        <v>130</v>
      </c>
    </row>
    <row r="172" spans="9:10" ht="30" x14ac:dyDescent="0.25">
      <c r="I172" s="2" t="s">
        <v>149</v>
      </c>
      <c r="J172" s="2" t="s">
        <v>131</v>
      </c>
    </row>
    <row r="173" spans="9:10" ht="30" x14ac:dyDescent="0.25">
      <c r="I173" s="2" t="s">
        <v>149</v>
      </c>
      <c r="J173" s="2" t="s">
        <v>132</v>
      </c>
    </row>
    <row r="174" spans="9:10" ht="30" x14ac:dyDescent="0.25">
      <c r="I174" s="2" t="s">
        <v>149</v>
      </c>
      <c r="J174" s="2" t="s">
        <v>133</v>
      </c>
    </row>
    <row r="175" spans="9:10" ht="30" x14ac:dyDescent="0.25">
      <c r="I175" s="2" t="s">
        <v>149</v>
      </c>
      <c r="J175" s="2" t="s">
        <v>134</v>
      </c>
    </row>
    <row r="176" spans="9:10" ht="30" x14ac:dyDescent="0.25">
      <c r="I176" s="2" t="s">
        <v>149</v>
      </c>
      <c r="J176" s="2" t="s">
        <v>135</v>
      </c>
    </row>
    <row r="177" spans="9:10" ht="30" x14ac:dyDescent="0.25">
      <c r="I177" s="2" t="s">
        <v>149</v>
      </c>
      <c r="J177" s="2" t="s">
        <v>136</v>
      </c>
    </row>
    <row r="178" spans="9:10" ht="30" x14ac:dyDescent="0.25">
      <c r="I178" s="2" t="s">
        <v>149</v>
      </c>
      <c r="J178" s="2" t="s">
        <v>137</v>
      </c>
    </row>
    <row r="179" spans="9:10" ht="30" x14ac:dyDescent="0.25">
      <c r="I179" s="2" t="s">
        <v>149</v>
      </c>
      <c r="J179" s="2" t="s">
        <v>138</v>
      </c>
    </row>
    <row r="180" spans="9:10" ht="30" x14ac:dyDescent="0.25">
      <c r="I180" s="2" t="s">
        <v>149</v>
      </c>
      <c r="J180" s="2" t="s">
        <v>139</v>
      </c>
    </row>
    <row r="181" spans="9:10" ht="30" x14ac:dyDescent="0.25">
      <c r="I181" s="2" t="s">
        <v>149</v>
      </c>
      <c r="J181" s="2" t="s">
        <v>140</v>
      </c>
    </row>
    <row r="182" spans="9:10" ht="30" x14ac:dyDescent="0.25">
      <c r="I182" s="2" t="s">
        <v>149</v>
      </c>
      <c r="J182" s="2" t="s">
        <v>141</v>
      </c>
    </row>
    <row r="183" spans="9:10" ht="30" x14ac:dyDescent="0.25">
      <c r="I183" s="2" t="s">
        <v>149</v>
      </c>
      <c r="J183" s="2" t="s">
        <v>159</v>
      </c>
    </row>
    <row r="184" spans="9:10" ht="30" x14ac:dyDescent="0.25">
      <c r="I184" s="2" t="s">
        <v>149</v>
      </c>
      <c r="J184" s="2" t="s">
        <v>160</v>
      </c>
    </row>
    <row r="185" spans="9:10" ht="30" x14ac:dyDescent="0.25">
      <c r="I185" s="2" t="s">
        <v>149</v>
      </c>
      <c r="J185" s="2" t="s">
        <v>161</v>
      </c>
    </row>
    <row r="186" spans="9:10" ht="30" x14ac:dyDescent="0.25">
      <c r="I186" s="2" t="s">
        <v>149</v>
      </c>
      <c r="J186" s="2" t="s">
        <v>162</v>
      </c>
    </row>
    <row r="187" spans="9:10" ht="30" x14ac:dyDescent="0.25">
      <c r="I187" s="2" t="s">
        <v>149</v>
      </c>
      <c r="J187" s="2" t="s">
        <v>163</v>
      </c>
    </row>
    <row r="188" spans="9:10" ht="30" x14ac:dyDescent="0.25">
      <c r="I188" s="2" t="s">
        <v>149</v>
      </c>
      <c r="J188" s="2" t="s">
        <v>164</v>
      </c>
    </row>
    <row r="189" spans="9:10" x14ac:dyDescent="0.25">
      <c r="I189" s="2" t="s">
        <v>32</v>
      </c>
      <c r="J189" s="2" t="s">
        <v>165</v>
      </c>
    </row>
    <row r="190" spans="9:10" x14ac:dyDescent="0.25">
      <c r="I190" s="2" t="s">
        <v>32</v>
      </c>
      <c r="J190" s="2" t="s">
        <v>166</v>
      </c>
    </row>
    <row r="191" spans="9:10" x14ac:dyDescent="0.25">
      <c r="I191" s="2" t="s">
        <v>32</v>
      </c>
      <c r="J191" s="2" t="s">
        <v>167</v>
      </c>
    </row>
    <row r="192" spans="9:10" x14ac:dyDescent="0.25">
      <c r="I192" s="2" t="s">
        <v>32</v>
      </c>
      <c r="J192" s="2" t="s">
        <v>168</v>
      </c>
    </row>
    <row r="193" spans="9:10" x14ac:dyDescent="0.25">
      <c r="I193" s="2" t="s">
        <v>32</v>
      </c>
      <c r="J193" s="2" t="s">
        <v>169</v>
      </c>
    </row>
    <row r="194" spans="9:10" x14ac:dyDescent="0.25">
      <c r="I194" s="2" t="s">
        <v>32</v>
      </c>
      <c r="J194" s="2" t="s">
        <v>170</v>
      </c>
    </row>
    <row r="195" spans="9:10" x14ac:dyDescent="0.25">
      <c r="I195" s="2" t="s">
        <v>32</v>
      </c>
      <c r="J195" s="2" t="s">
        <v>36</v>
      </c>
    </row>
    <row r="196" spans="9:10" x14ac:dyDescent="0.25">
      <c r="I196" s="2" t="s">
        <v>32</v>
      </c>
      <c r="J196" s="2" t="s">
        <v>37</v>
      </c>
    </row>
    <row r="197" spans="9:10" x14ac:dyDescent="0.25">
      <c r="I197" s="2" t="s">
        <v>32</v>
      </c>
      <c r="J197" s="2" t="s">
        <v>171</v>
      </c>
    </row>
    <row r="198" spans="9:10" x14ac:dyDescent="0.25">
      <c r="I198" s="2" t="s">
        <v>32</v>
      </c>
      <c r="J198" s="2" t="s">
        <v>172</v>
      </c>
    </row>
    <row r="199" spans="9:10" x14ac:dyDescent="0.25">
      <c r="I199" s="2" t="s">
        <v>32</v>
      </c>
      <c r="J199" s="2" t="s">
        <v>173</v>
      </c>
    </row>
    <row r="200" spans="9:10" x14ac:dyDescent="0.25">
      <c r="I200" s="2" t="s">
        <v>32</v>
      </c>
      <c r="J200" s="2" t="s">
        <v>174</v>
      </c>
    </row>
    <row r="201" spans="9:10" x14ac:dyDescent="0.25">
      <c r="I201" s="2" t="s">
        <v>32</v>
      </c>
      <c r="J201" s="2" t="s">
        <v>175</v>
      </c>
    </row>
    <row r="202" spans="9:10" x14ac:dyDescent="0.25">
      <c r="I202" s="2" t="s">
        <v>32</v>
      </c>
      <c r="J202" s="2" t="s">
        <v>176</v>
      </c>
    </row>
    <row r="203" spans="9:10" x14ac:dyDescent="0.25">
      <c r="I203" s="2" t="s">
        <v>32</v>
      </c>
      <c r="J203" s="2" t="s">
        <v>177</v>
      </c>
    </row>
    <row r="204" spans="9:10" x14ac:dyDescent="0.25">
      <c r="I204" s="2" t="s">
        <v>32</v>
      </c>
      <c r="J204" s="2" t="s">
        <v>178</v>
      </c>
    </row>
    <row r="205" spans="9:10" x14ac:dyDescent="0.25">
      <c r="I205" s="2" t="s">
        <v>179</v>
      </c>
      <c r="J205" s="2" t="s">
        <v>180</v>
      </c>
    </row>
    <row r="206" spans="9:10" x14ac:dyDescent="0.25">
      <c r="I206" s="2" t="s">
        <v>179</v>
      </c>
      <c r="J206" s="2" t="s">
        <v>181</v>
      </c>
    </row>
    <row r="207" spans="9:10" x14ac:dyDescent="0.25">
      <c r="I207" s="2" t="s">
        <v>179</v>
      </c>
      <c r="J207" s="2" t="s">
        <v>182</v>
      </c>
    </row>
    <row r="208" spans="9:10" x14ac:dyDescent="0.25">
      <c r="I208" s="2" t="s">
        <v>179</v>
      </c>
      <c r="J208" s="2" t="s">
        <v>183</v>
      </c>
    </row>
    <row r="209" spans="9:10" x14ac:dyDescent="0.25">
      <c r="I209" s="2" t="s">
        <v>179</v>
      </c>
      <c r="J209" s="2" t="s">
        <v>184</v>
      </c>
    </row>
    <row r="210" spans="9:10" x14ac:dyDescent="0.25">
      <c r="I210" s="2" t="s">
        <v>179</v>
      </c>
      <c r="J210" s="2" t="s">
        <v>185</v>
      </c>
    </row>
    <row r="211" spans="9:10" x14ac:dyDescent="0.25">
      <c r="I211" s="2" t="s">
        <v>179</v>
      </c>
      <c r="J211" s="2" t="s">
        <v>186</v>
      </c>
    </row>
    <row r="212" spans="9:10" x14ac:dyDescent="0.25">
      <c r="I212" s="2" t="s">
        <v>179</v>
      </c>
      <c r="J212" s="2" t="s">
        <v>187</v>
      </c>
    </row>
    <row r="213" spans="9:10" x14ac:dyDescent="0.25">
      <c r="I213" s="2" t="s">
        <v>179</v>
      </c>
      <c r="J213" s="2" t="s">
        <v>188</v>
      </c>
    </row>
    <row r="214" spans="9:10" x14ac:dyDescent="0.25">
      <c r="I214" s="2" t="s">
        <v>179</v>
      </c>
      <c r="J214" s="2" t="s">
        <v>189</v>
      </c>
    </row>
    <row r="215" spans="9:10" x14ac:dyDescent="0.25">
      <c r="I215" s="2" t="s">
        <v>179</v>
      </c>
      <c r="J215" s="2" t="s">
        <v>190</v>
      </c>
    </row>
    <row r="216" spans="9:10" x14ac:dyDescent="0.25">
      <c r="I216" s="2" t="s">
        <v>179</v>
      </c>
      <c r="J216" s="2" t="s">
        <v>191</v>
      </c>
    </row>
    <row r="217" spans="9:10" x14ac:dyDescent="0.25">
      <c r="I217" s="2" t="s">
        <v>179</v>
      </c>
      <c r="J217" s="2" t="s">
        <v>192</v>
      </c>
    </row>
    <row r="218" spans="9:10" x14ac:dyDescent="0.25">
      <c r="I218" s="2" t="s">
        <v>179</v>
      </c>
      <c r="J218" s="2" t="s">
        <v>193</v>
      </c>
    </row>
    <row r="219" spans="9:10" x14ac:dyDescent="0.25">
      <c r="I219" s="2" t="s">
        <v>179</v>
      </c>
      <c r="J219" s="2" t="s">
        <v>194</v>
      </c>
    </row>
    <row r="220" spans="9:10" x14ac:dyDescent="0.25">
      <c r="I220" s="2" t="s">
        <v>179</v>
      </c>
      <c r="J220" s="2" t="s">
        <v>195</v>
      </c>
    </row>
    <row r="221" spans="9:10" x14ac:dyDescent="0.25">
      <c r="I221" s="2" t="s">
        <v>179</v>
      </c>
      <c r="J221" s="2" t="s">
        <v>196</v>
      </c>
    </row>
    <row r="222" spans="9:10" x14ac:dyDescent="0.25">
      <c r="I222" s="2" t="s">
        <v>179</v>
      </c>
      <c r="J222" s="2" t="s">
        <v>197</v>
      </c>
    </row>
    <row r="223" spans="9:10" x14ac:dyDescent="0.25">
      <c r="I223" s="2" t="s">
        <v>179</v>
      </c>
      <c r="J223" s="2" t="s">
        <v>198</v>
      </c>
    </row>
    <row r="224" spans="9:10" x14ac:dyDescent="0.25">
      <c r="I224" s="2" t="s">
        <v>179</v>
      </c>
      <c r="J224" s="2" t="s">
        <v>199</v>
      </c>
    </row>
    <row r="225" spans="9:10" x14ac:dyDescent="0.25">
      <c r="I225" s="2" t="s">
        <v>179</v>
      </c>
      <c r="J225" s="2" t="s">
        <v>200</v>
      </c>
    </row>
    <row r="226" spans="9:10" x14ac:dyDescent="0.25">
      <c r="I226" s="2" t="s">
        <v>179</v>
      </c>
      <c r="J226" s="2" t="s">
        <v>201</v>
      </c>
    </row>
    <row r="227" spans="9:10" x14ac:dyDescent="0.25">
      <c r="I227" s="2" t="s">
        <v>202</v>
      </c>
      <c r="J227" s="2" t="s">
        <v>203</v>
      </c>
    </row>
    <row r="228" spans="9:10" x14ac:dyDescent="0.25">
      <c r="I228" s="2" t="s">
        <v>202</v>
      </c>
      <c r="J228" s="2" t="s">
        <v>204</v>
      </c>
    </row>
    <row r="229" spans="9:10" x14ac:dyDescent="0.25">
      <c r="I229" s="2" t="s">
        <v>202</v>
      </c>
      <c r="J229" s="2" t="s">
        <v>205</v>
      </c>
    </row>
    <row r="230" spans="9:10" x14ac:dyDescent="0.25">
      <c r="I230" s="2" t="s">
        <v>202</v>
      </c>
      <c r="J230" s="2" t="s">
        <v>206</v>
      </c>
    </row>
    <row r="231" spans="9:10" x14ac:dyDescent="0.25">
      <c r="I231" s="2" t="s">
        <v>202</v>
      </c>
      <c r="J231" s="2" t="s">
        <v>207</v>
      </c>
    </row>
    <row r="232" spans="9:10" x14ac:dyDescent="0.25">
      <c r="I232" s="2" t="s">
        <v>202</v>
      </c>
      <c r="J232" s="2" t="s">
        <v>208</v>
      </c>
    </row>
    <row r="233" spans="9:10" x14ac:dyDescent="0.25">
      <c r="I233" s="2" t="s">
        <v>202</v>
      </c>
      <c r="J233" s="2" t="s">
        <v>209</v>
      </c>
    </row>
    <row r="234" spans="9:10" x14ac:dyDescent="0.25">
      <c r="I234" s="2" t="s">
        <v>202</v>
      </c>
      <c r="J234" s="2" t="s">
        <v>210</v>
      </c>
    </row>
    <row r="235" spans="9:10" x14ac:dyDescent="0.25">
      <c r="I235" s="2" t="s">
        <v>202</v>
      </c>
      <c r="J235" s="2" t="s">
        <v>211</v>
      </c>
    </row>
    <row r="236" spans="9:10" x14ac:dyDescent="0.25">
      <c r="I236" s="2" t="s">
        <v>202</v>
      </c>
      <c r="J236" s="2" t="s">
        <v>212</v>
      </c>
    </row>
    <row r="237" spans="9:10" x14ac:dyDescent="0.25">
      <c r="I237" s="2" t="s">
        <v>202</v>
      </c>
      <c r="J237" s="2" t="s">
        <v>213</v>
      </c>
    </row>
    <row r="238" spans="9:10" x14ac:dyDescent="0.25">
      <c r="I238" s="2" t="s">
        <v>202</v>
      </c>
      <c r="J238" s="2" t="s">
        <v>214</v>
      </c>
    </row>
    <row r="239" spans="9:10" x14ac:dyDescent="0.25">
      <c r="I239" s="2" t="s">
        <v>202</v>
      </c>
      <c r="J239" s="2" t="s">
        <v>215</v>
      </c>
    </row>
    <row r="240" spans="9:10" x14ac:dyDescent="0.25">
      <c r="I240" s="2" t="s">
        <v>202</v>
      </c>
      <c r="J240" s="2" t="s">
        <v>216</v>
      </c>
    </row>
    <row r="241" spans="9:10" x14ac:dyDescent="0.25">
      <c r="I241" s="2" t="s">
        <v>202</v>
      </c>
      <c r="J241" s="2" t="s">
        <v>217</v>
      </c>
    </row>
    <row r="242" spans="9:10" x14ac:dyDescent="0.25">
      <c r="I242" s="2" t="s">
        <v>202</v>
      </c>
      <c r="J242" s="2" t="s">
        <v>218</v>
      </c>
    </row>
    <row r="243" spans="9:10" x14ac:dyDescent="0.25">
      <c r="I243" s="2" t="s">
        <v>202</v>
      </c>
      <c r="J243" s="2" t="s">
        <v>219</v>
      </c>
    </row>
    <row r="244" spans="9:10" x14ac:dyDescent="0.25">
      <c r="I244" s="2" t="s">
        <v>202</v>
      </c>
      <c r="J244" s="2" t="s">
        <v>220</v>
      </c>
    </row>
    <row r="245" spans="9:10" x14ac:dyDescent="0.25">
      <c r="I245" s="2" t="s">
        <v>202</v>
      </c>
      <c r="J245" s="2" t="s">
        <v>221</v>
      </c>
    </row>
    <row r="246" spans="9:10" x14ac:dyDescent="0.25">
      <c r="I246" s="2" t="s">
        <v>202</v>
      </c>
      <c r="J246" s="2" t="s">
        <v>222</v>
      </c>
    </row>
    <row r="247" spans="9:10" x14ac:dyDescent="0.25">
      <c r="I247" s="2" t="s">
        <v>202</v>
      </c>
      <c r="J247" s="2" t="s">
        <v>223</v>
      </c>
    </row>
    <row r="248" spans="9:10" x14ac:dyDescent="0.25">
      <c r="I248" s="2" t="s">
        <v>202</v>
      </c>
      <c r="J248" s="2" t="s">
        <v>224</v>
      </c>
    </row>
    <row r="249" spans="9:10" x14ac:dyDescent="0.25">
      <c r="I249" s="2" t="s">
        <v>225</v>
      </c>
      <c r="J249" s="2" t="s">
        <v>226</v>
      </c>
    </row>
    <row r="250" spans="9:10" x14ac:dyDescent="0.25">
      <c r="I250" s="2" t="s">
        <v>225</v>
      </c>
      <c r="J250" s="2" t="s">
        <v>227</v>
      </c>
    </row>
    <row r="251" spans="9:10" x14ac:dyDescent="0.25">
      <c r="I251" s="2" t="s">
        <v>225</v>
      </c>
      <c r="J251" s="2" t="s">
        <v>228</v>
      </c>
    </row>
    <row r="252" spans="9:10" x14ac:dyDescent="0.25">
      <c r="I252" s="2" t="s">
        <v>225</v>
      </c>
      <c r="J252" s="2" t="s">
        <v>229</v>
      </c>
    </row>
    <row r="253" spans="9:10" x14ac:dyDescent="0.25">
      <c r="I253" s="2" t="s">
        <v>225</v>
      </c>
      <c r="J253" s="2" t="s">
        <v>230</v>
      </c>
    </row>
    <row r="254" spans="9:10" x14ac:dyDescent="0.25">
      <c r="I254" s="2" t="s">
        <v>225</v>
      </c>
      <c r="J254" s="2" t="s">
        <v>231</v>
      </c>
    </row>
    <row r="255" spans="9:10" x14ac:dyDescent="0.25">
      <c r="I255" s="2" t="s">
        <v>225</v>
      </c>
      <c r="J255" s="2" t="s">
        <v>232</v>
      </c>
    </row>
    <row r="256" spans="9:10" x14ac:dyDescent="0.25">
      <c r="I256" s="2" t="s">
        <v>225</v>
      </c>
      <c r="J256" s="2" t="s">
        <v>233</v>
      </c>
    </row>
    <row r="257" spans="9:10" x14ac:dyDescent="0.25">
      <c r="I257" s="2" t="s">
        <v>225</v>
      </c>
      <c r="J257" s="2" t="s">
        <v>234</v>
      </c>
    </row>
    <row r="258" spans="9:10" x14ac:dyDescent="0.25">
      <c r="I258" s="2" t="s">
        <v>225</v>
      </c>
      <c r="J258" s="2" t="s">
        <v>235</v>
      </c>
    </row>
    <row r="259" spans="9:10" x14ac:dyDescent="0.25">
      <c r="I259" s="2" t="s">
        <v>225</v>
      </c>
      <c r="J259" s="2" t="s">
        <v>236</v>
      </c>
    </row>
    <row r="260" spans="9:10" x14ac:dyDescent="0.25">
      <c r="I260" s="2" t="s">
        <v>225</v>
      </c>
      <c r="J260" s="2" t="s">
        <v>237</v>
      </c>
    </row>
    <row r="261" spans="9:10" x14ac:dyDescent="0.25">
      <c r="I261" s="2" t="s">
        <v>225</v>
      </c>
      <c r="J261" s="2" t="s">
        <v>238</v>
      </c>
    </row>
    <row r="262" spans="9:10" x14ac:dyDescent="0.25">
      <c r="I262" s="2" t="s">
        <v>225</v>
      </c>
      <c r="J262" s="2" t="s">
        <v>239</v>
      </c>
    </row>
    <row r="263" spans="9:10" x14ac:dyDescent="0.25">
      <c r="I263" s="2" t="s">
        <v>225</v>
      </c>
      <c r="J263" s="2" t="s">
        <v>240</v>
      </c>
    </row>
    <row r="264" spans="9:10" x14ac:dyDescent="0.25">
      <c r="I264" s="2" t="s">
        <v>225</v>
      </c>
      <c r="J264" s="2" t="s">
        <v>241</v>
      </c>
    </row>
    <row r="265" spans="9:10" x14ac:dyDescent="0.25">
      <c r="I265" s="2" t="s">
        <v>225</v>
      </c>
      <c r="J265" s="2" t="s">
        <v>242</v>
      </c>
    </row>
    <row r="266" spans="9:10" x14ac:dyDescent="0.25">
      <c r="I266" s="2" t="s">
        <v>225</v>
      </c>
      <c r="J266" s="2" t="s">
        <v>243</v>
      </c>
    </row>
    <row r="267" spans="9:10" x14ac:dyDescent="0.25">
      <c r="I267" s="2" t="s">
        <v>225</v>
      </c>
      <c r="J267" s="2" t="s">
        <v>244</v>
      </c>
    </row>
    <row r="268" spans="9:10" x14ac:dyDescent="0.25">
      <c r="I268" s="2" t="s">
        <v>225</v>
      </c>
      <c r="J268" s="2" t="s">
        <v>245</v>
      </c>
    </row>
    <row r="269" spans="9:10" x14ac:dyDescent="0.25">
      <c r="I269" s="2" t="s">
        <v>225</v>
      </c>
      <c r="J269" s="2" t="s">
        <v>246</v>
      </c>
    </row>
    <row r="270" spans="9:10" x14ac:dyDescent="0.25">
      <c r="I270" s="2" t="s">
        <v>38</v>
      </c>
      <c r="J270" s="2" t="s">
        <v>247</v>
      </c>
    </row>
    <row r="271" spans="9:10" x14ac:dyDescent="0.25">
      <c r="I271" s="2" t="s">
        <v>38</v>
      </c>
      <c r="J271" s="2" t="s">
        <v>248</v>
      </c>
    </row>
    <row r="272" spans="9:10" x14ac:dyDescent="0.25">
      <c r="I272" s="2" t="s">
        <v>38</v>
      </c>
      <c r="J272" s="2" t="s">
        <v>249</v>
      </c>
    </row>
    <row r="273" spans="9:10" x14ac:dyDescent="0.25">
      <c r="I273" s="2" t="s">
        <v>38</v>
      </c>
      <c r="J273" s="2" t="s">
        <v>250</v>
      </c>
    </row>
    <row r="274" spans="9:10" x14ac:dyDescent="0.25">
      <c r="I274" s="2" t="s">
        <v>38</v>
      </c>
      <c r="J274" s="2" t="s">
        <v>39</v>
      </c>
    </row>
    <row r="275" spans="9:10" x14ac:dyDescent="0.25">
      <c r="I275" s="2" t="s">
        <v>38</v>
      </c>
      <c r="J275" s="2" t="s">
        <v>40</v>
      </c>
    </row>
    <row r="276" spans="9:10" x14ac:dyDescent="0.25">
      <c r="I276" s="2" t="s">
        <v>38</v>
      </c>
      <c r="J276" s="2" t="s">
        <v>41</v>
      </c>
    </row>
    <row r="277" spans="9:10" x14ac:dyDescent="0.25">
      <c r="I277" s="2" t="s">
        <v>38</v>
      </c>
      <c r="J277" s="2" t="s">
        <v>42</v>
      </c>
    </row>
    <row r="278" spans="9:10" x14ac:dyDescent="0.25">
      <c r="I278" s="2" t="s">
        <v>38</v>
      </c>
      <c r="J278" s="2" t="s">
        <v>43</v>
      </c>
    </row>
    <row r="279" spans="9:10" x14ac:dyDescent="0.25">
      <c r="I279" s="2" t="s">
        <v>38</v>
      </c>
      <c r="J279" s="2" t="s">
        <v>44</v>
      </c>
    </row>
    <row r="280" spans="9:10" x14ac:dyDescent="0.25">
      <c r="I280" s="2" t="s">
        <v>38</v>
      </c>
      <c r="J280" s="2" t="s">
        <v>45</v>
      </c>
    </row>
    <row r="281" spans="9:10" x14ac:dyDescent="0.25">
      <c r="I281" s="2" t="s">
        <v>38</v>
      </c>
      <c r="J281" s="2" t="s">
        <v>46</v>
      </c>
    </row>
    <row r="282" spans="9:10" x14ac:dyDescent="0.25">
      <c r="I282" s="2" t="s">
        <v>47</v>
      </c>
      <c r="J282" s="2" t="s">
        <v>251</v>
      </c>
    </row>
    <row r="283" spans="9:10" x14ac:dyDescent="0.25">
      <c r="I283" s="2" t="s">
        <v>47</v>
      </c>
      <c r="J283" s="2" t="s">
        <v>252</v>
      </c>
    </row>
    <row r="284" spans="9:10" x14ac:dyDescent="0.25">
      <c r="I284" s="2" t="s">
        <v>47</v>
      </c>
      <c r="J284" s="2" t="s">
        <v>253</v>
      </c>
    </row>
    <row r="285" spans="9:10" x14ac:dyDescent="0.25">
      <c r="I285" s="2" t="s">
        <v>47</v>
      </c>
      <c r="J285" s="2" t="s">
        <v>254</v>
      </c>
    </row>
    <row r="286" spans="9:10" x14ac:dyDescent="0.25">
      <c r="I286" s="2" t="s">
        <v>47</v>
      </c>
      <c r="J286" s="2" t="s">
        <v>48</v>
      </c>
    </row>
    <row r="287" spans="9:10" x14ac:dyDescent="0.25">
      <c r="I287" s="2" t="s">
        <v>47</v>
      </c>
      <c r="J287" s="2" t="s">
        <v>49</v>
      </c>
    </row>
    <row r="288" spans="9:10" x14ac:dyDescent="0.25">
      <c r="I288" s="2" t="s">
        <v>47</v>
      </c>
      <c r="J288" s="2" t="s">
        <v>50</v>
      </c>
    </row>
    <row r="289" spans="9:10" x14ac:dyDescent="0.25">
      <c r="I289" s="2" t="s">
        <v>47</v>
      </c>
      <c r="J289" s="2" t="s">
        <v>51</v>
      </c>
    </row>
    <row r="290" spans="9:10" x14ac:dyDescent="0.25">
      <c r="I290" s="2" t="s">
        <v>102</v>
      </c>
      <c r="J290" s="2" t="s">
        <v>158</v>
      </c>
    </row>
    <row r="291" spans="9:10" x14ac:dyDescent="0.25">
      <c r="I291" s="2" t="s">
        <v>102</v>
      </c>
      <c r="J291" s="2" t="s">
        <v>155</v>
      </c>
    </row>
    <row r="292" spans="9:10" x14ac:dyDescent="0.25">
      <c r="I292" s="2" t="s">
        <v>102</v>
      </c>
      <c r="J292" s="2" t="s">
        <v>156</v>
      </c>
    </row>
    <row r="293" spans="9:10" x14ac:dyDescent="0.25">
      <c r="I293" s="2" t="s">
        <v>102</v>
      </c>
      <c r="J293" s="2" t="s">
        <v>159</v>
      </c>
    </row>
    <row r="294" spans="9:10" x14ac:dyDescent="0.25">
      <c r="I294" s="2" t="s">
        <v>102</v>
      </c>
      <c r="J294" s="2" t="s">
        <v>157</v>
      </c>
    </row>
    <row r="295" spans="9:10" x14ac:dyDescent="0.25">
      <c r="I295" s="2" t="s">
        <v>255</v>
      </c>
      <c r="J295" s="2" t="s">
        <v>256</v>
      </c>
    </row>
    <row r="296" spans="9:10" x14ac:dyDescent="0.25">
      <c r="I296" s="2" t="s">
        <v>255</v>
      </c>
      <c r="J296" s="2" t="s">
        <v>257</v>
      </c>
    </row>
    <row r="297" spans="9:10" x14ac:dyDescent="0.25">
      <c r="I297" s="2" t="s">
        <v>255</v>
      </c>
      <c r="J297" s="2" t="s">
        <v>258</v>
      </c>
    </row>
    <row r="298" spans="9:10" x14ac:dyDescent="0.25">
      <c r="I298" s="2" t="s">
        <v>255</v>
      </c>
      <c r="J298" s="2" t="s">
        <v>259</v>
      </c>
    </row>
    <row r="299" spans="9:10" x14ac:dyDescent="0.25">
      <c r="I299" s="2" t="s">
        <v>255</v>
      </c>
      <c r="J299" s="2" t="s">
        <v>260</v>
      </c>
    </row>
    <row r="300" spans="9:10" x14ac:dyDescent="0.25">
      <c r="I300" s="2" t="s">
        <v>255</v>
      </c>
      <c r="J300" s="2" t="s">
        <v>261</v>
      </c>
    </row>
    <row r="301" spans="9:10" x14ac:dyDescent="0.25">
      <c r="I301" s="2" t="s">
        <v>255</v>
      </c>
      <c r="J301" s="2" t="s">
        <v>262</v>
      </c>
    </row>
    <row r="302" spans="9:10" x14ac:dyDescent="0.25">
      <c r="I302" s="2" t="s">
        <v>263</v>
      </c>
      <c r="J302" s="2" t="s">
        <v>264</v>
      </c>
    </row>
    <row r="303" spans="9:10" x14ac:dyDescent="0.25">
      <c r="I303" s="2" t="s">
        <v>263</v>
      </c>
      <c r="J303" s="2" t="s">
        <v>265</v>
      </c>
    </row>
    <row r="304" spans="9:10" x14ac:dyDescent="0.25">
      <c r="I304" s="2" t="s">
        <v>263</v>
      </c>
      <c r="J304" s="2" t="s">
        <v>266</v>
      </c>
    </row>
    <row r="305" spans="9:10" x14ac:dyDescent="0.25">
      <c r="I305" s="2" t="s">
        <v>263</v>
      </c>
      <c r="J305" s="2" t="s">
        <v>267</v>
      </c>
    </row>
    <row r="306" spans="9:10" x14ac:dyDescent="0.25">
      <c r="I306" s="2" t="s">
        <v>263</v>
      </c>
      <c r="J306" s="2" t="s">
        <v>268</v>
      </c>
    </row>
    <row r="307" spans="9:10" x14ac:dyDescent="0.25">
      <c r="I307" s="2" t="s">
        <v>263</v>
      </c>
      <c r="J307" s="2" t="s">
        <v>269</v>
      </c>
    </row>
    <row r="308" spans="9:10" x14ac:dyDescent="0.25">
      <c r="I308" s="2" t="s">
        <v>263</v>
      </c>
      <c r="J308" s="2" t="s">
        <v>270</v>
      </c>
    </row>
    <row r="309" spans="9:10" x14ac:dyDescent="0.25">
      <c r="I309" s="2" t="s">
        <v>263</v>
      </c>
      <c r="J309" s="2" t="s">
        <v>271</v>
      </c>
    </row>
    <row r="310" spans="9:10" x14ac:dyDescent="0.25">
      <c r="I310" s="2" t="s">
        <v>263</v>
      </c>
      <c r="J310" s="2" t="s">
        <v>272</v>
      </c>
    </row>
    <row r="311" spans="9:10" x14ac:dyDescent="0.25">
      <c r="I311" s="2" t="s">
        <v>263</v>
      </c>
      <c r="J311" s="2" t="s">
        <v>273</v>
      </c>
    </row>
    <row r="312" spans="9:10" x14ac:dyDescent="0.25">
      <c r="I312" s="2" t="s">
        <v>274</v>
      </c>
      <c r="J312" s="2" t="s">
        <v>275</v>
      </c>
    </row>
    <row r="313" spans="9:10" x14ac:dyDescent="0.25">
      <c r="I313" s="2" t="s">
        <v>274</v>
      </c>
      <c r="J313" s="2" t="s">
        <v>276</v>
      </c>
    </row>
    <row r="314" spans="9:10" x14ac:dyDescent="0.25">
      <c r="I314" s="2" t="s">
        <v>274</v>
      </c>
      <c r="J314" s="2" t="s">
        <v>277</v>
      </c>
    </row>
    <row r="315" spans="9:10" x14ac:dyDescent="0.25">
      <c r="I315" s="2" t="s">
        <v>274</v>
      </c>
      <c r="J315" s="2" t="s">
        <v>278</v>
      </c>
    </row>
    <row r="316" spans="9:10" x14ac:dyDescent="0.25">
      <c r="I316" s="2" t="s">
        <v>274</v>
      </c>
      <c r="J316" s="2" t="s">
        <v>279</v>
      </c>
    </row>
    <row r="317" spans="9:10" x14ac:dyDescent="0.25">
      <c r="I317" s="2" t="s">
        <v>274</v>
      </c>
      <c r="J317" s="2" t="s">
        <v>280</v>
      </c>
    </row>
    <row r="318" spans="9:10" x14ac:dyDescent="0.25">
      <c r="I318" s="2" t="s">
        <v>274</v>
      </c>
      <c r="J318" s="2" t="s">
        <v>281</v>
      </c>
    </row>
    <row r="319" spans="9:10" x14ac:dyDescent="0.25">
      <c r="I319" s="2" t="s">
        <v>274</v>
      </c>
      <c r="J319" s="2" t="s">
        <v>282</v>
      </c>
    </row>
    <row r="320" spans="9:10" x14ac:dyDescent="0.25">
      <c r="I320" s="2" t="s">
        <v>274</v>
      </c>
      <c r="J320" s="2" t="s">
        <v>283</v>
      </c>
    </row>
    <row r="321" spans="9:10" x14ac:dyDescent="0.25">
      <c r="I321" s="2" t="s">
        <v>274</v>
      </c>
      <c r="J321" s="2" t="s">
        <v>284</v>
      </c>
    </row>
    <row r="322" spans="9:10" x14ac:dyDescent="0.25">
      <c r="I322" s="2" t="s">
        <v>285</v>
      </c>
      <c r="J322" s="2" t="s">
        <v>286</v>
      </c>
    </row>
    <row r="323" spans="9:10" x14ac:dyDescent="0.25">
      <c r="I323" s="2" t="s">
        <v>285</v>
      </c>
      <c r="J323" s="2" t="s">
        <v>287</v>
      </c>
    </row>
    <row r="324" spans="9:10" x14ac:dyDescent="0.25">
      <c r="I324" s="2" t="s">
        <v>285</v>
      </c>
      <c r="J324" s="2" t="s">
        <v>288</v>
      </c>
    </row>
    <row r="325" spans="9:10" x14ac:dyDescent="0.25">
      <c r="I325" s="2" t="s">
        <v>285</v>
      </c>
      <c r="J325" s="2" t="s">
        <v>289</v>
      </c>
    </row>
    <row r="326" spans="9:10" x14ac:dyDescent="0.25">
      <c r="I326" s="2" t="s">
        <v>285</v>
      </c>
      <c r="J326" s="2" t="s">
        <v>290</v>
      </c>
    </row>
    <row r="327" spans="9:10" x14ac:dyDescent="0.25">
      <c r="I327" s="2" t="s">
        <v>285</v>
      </c>
      <c r="J327" s="2" t="s">
        <v>291</v>
      </c>
    </row>
    <row r="328" spans="9:10" x14ac:dyDescent="0.25">
      <c r="I328" s="2" t="s">
        <v>285</v>
      </c>
      <c r="J328" s="2" t="s">
        <v>292</v>
      </c>
    </row>
    <row r="329" spans="9:10" x14ac:dyDescent="0.25">
      <c r="I329" s="2" t="s">
        <v>285</v>
      </c>
      <c r="J329" s="2" t="s">
        <v>293</v>
      </c>
    </row>
    <row r="330" spans="9:10" x14ac:dyDescent="0.25">
      <c r="I330" s="2" t="s">
        <v>285</v>
      </c>
      <c r="J330" s="2" t="s">
        <v>294</v>
      </c>
    </row>
    <row r="331" spans="9:10" x14ac:dyDescent="0.25">
      <c r="I331" s="2" t="s">
        <v>285</v>
      </c>
      <c r="J331" s="2" t="s">
        <v>295</v>
      </c>
    </row>
    <row r="332" spans="9:10" x14ac:dyDescent="0.25">
      <c r="I332" s="2" t="s">
        <v>285</v>
      </c>
      <c r="J332" s="2" t="s">
        <v>296</v>
      </c>
    </row>
    <row r="333" spans="9:10" x14ac:dyDescent="0.25">
      <c r="I333" s="2" t="s">
        <v>285</v>
      </c>
      <c r="J333" s="2" t="s">
        <v>297</v>
      </c>
    </row>
    <row r="334" spans="9:10" x14ac:dyDescent="0.25">
      <c r="I334" s="2" t="s">
        <v>285</v>
      </c>
      <c r="J334" s="2" t="s">
        <v>298</v>
      </c>
    </row>
    <row r="335" spans="9:10" x14ac:dyDescent="0.25">
      <c r="I335" s="2" t="s">
        <v>285</v>
      </c>
      <c r="J335" s="2" t="s">
        <v>299</v>
      </c>
    </row>
    <row r="336" spans="9:10" x14ac:dyDescent="0.25">
      <c r="I336" s="2" t="s">
        <v>285</v>
      </c>
      <c r="J336" s="2" t="s">
        <v>300</v>
      </c>
    </row>
    <row r="337" spans="9:10" x14ac:dyDescent="0.25">
      <c r="I337" s="2" t="s">
        <v>285</v>
      </c>
      <c r="J337" s="2" t="s">
        <v>301</v>
      </c>
    </row>
    <row r="338" spans="9:10" x14ac:dyDescent="0.25">
      <c r="I338" s="2" t="s">
        <v>285</v>
      </c>
      <c r="J338" s="2" t="s">
        <v>302</v>
      </c>
    </row>
    <row r="339" spans="9:10" x14ac:dyDescent="0.25">
      <c r="I339" s="2" t="s">
        <v>285</v>
      </c>
      <c r="J339" s="2" t="s">
        <v>303</v>
      </c>
    </row>
    <row r="340" spans="9:10" x14ac:dyDescent="0.25">
      <c r="I340" s="2" t="s">
        <v>285</v>
      </c>
      <c r="J340" s="2" t="s">
        <v>304</v>
      </c>
    </row>
    <row r="341" spans="9:10" x14ac:dyDescent="0.25">
      <c r="I341" s="2" t="s">
        <v>12</v>
      </c>
      <c r="J341" s="2" t="s">
        <v>13</v>
      </c>
    </row>
    <row r="342" spans="9:10" x14ac:dyDescent="0.25">
      <c r="I342" s="2" t="s">
        <v>12</v>
      </c>
      <c r="J342" s="2" t="s">
        <v>14</v>
      </c>
    </row>
    <row r="343" spans="9:10" x14ac:dyDescent="0.25">
      <c r="I343" s="2" t="s">
        <v>12</v>
      </c>
      <c r="J343" s="2" t="s">
        <v>305</v>
      </c>
    </row>
    <row r="344" spans="9:10" x14ac:dyDescent="0.25">
      <c r="I344" s="2" t="s">
        <v>12</v>
      </c>
      <c r="J344" s="2" t="s">
        <v>306</v>
      </c>
    </row>
    <row r="345" spans="9:10" x14ac:dyDescent="0.25">
      <c r="I345" s="2" t="s">
        <v>12</v>
      </c>
      <c r="J345" s="2" t="s">
        <v>307</v>
      </c>
    </row>
    <row r="346" spans="9:10" x14ac:dyDescent="0.25">
      <c r="I346" s="2" t="s">
        <v>12</v>
      </c>
      <c r="J346" s="2" t="s">
        <v>308</v>
      </c>
    </row>
    <row r="347" spans="9:10" x14ac:dyDescent="0.25">
      <c r="I347" s="2" t="s">
        <v>12</v>
      </c>
      <c r="J347" s="2" t="s">
        <v>309</v>
      </c>
    </row>
    <row r="348" spans="9:10" x14ac:dyDescent="0.25">
      <c r="I348" s="2" t="s">
        <v>12</v>
      </c>
      <c r="J348" s="2" t="s">
        <v>15</v>
      </c>
    </row>
    <row r="349" spans="9:10" x14ac:dyDescent="0.25">
      <c r="I349" s="2" t="s">
        <v>12</v>
      </c>
      <c r="J349" s="2" t="s">
        <v>310</v>
      </c>
    </row>
    <row r="350" spans="9:10" x14ac:dyDescent="0.25">
      <c r="I350" s="2" t="s">
        <v>12</v>
      </c>
      <c r="J350" s="2" t="s">
        <v>311</v>
      </c>
    </row>
    <row r="351" spans="9:10" x14ac:dyDescent="0.25">
      <c r="I351" s="2" t="s">
        <v>12</v>
      </c>
      <c r="J351" s="2" t="s">
        <v>312</v>
      </c>
    </row>
    <row r="352" spans="9:10" x14ac:dyDescent="0.25">
      <c r="I352" s="2" t="s">
        <v>12</v>
      </c>
      <c r="J352" s="2" t="s">
        <v>313</v>
      </c>
    </row>
    <row r="353" spans="9:10" x14ac:dyDescent="0.25">
      <c r="I353" s="2" t="s">
        <v>12</v>
      </c>
      <c r="J353" s="2" t="s">
        <v>314</v>
      </c>
    </row>
    <row r="354" spans="9:10" x14ac:dyDescent="0.25">
      <c r="I354" s="2" t="s">
        <v>8</v>
      </c>
      <c r="J354" s="2" t="s">
        <v>315</v>
      </c>
    </row>
    <row r="355" spans="9:10" x14ac:dyDescent="0.25">
      <c r="I355" s="2" t="s">
        <v>8</v>
      </c>
      <c r="J355" s="2" t="s">
        <v>17</v>
      </c>
    </row>
    <row r="356" spans="9:10" x14ac:dyDescent="0.25">
      <c r="I356" s="2" t="s">
        <v>8</v>
      </c>
      <c r="J356" s="2" t="s">
        <v>11</v>
      </c>
    </row>
    <row r="357" spans="9:10" x14ac:dyDescent="0.25">
      <c r="I357" s="2" t="s">
        <v>8</v>
      </c>
      <c r="J357" s="2" t="s">
        <v>316</v>
      </c>
    </row>
    <row r="358" spans="9:10" x14ac:dyDescent="0.25">
      <c r="I358" s="2" t="s">
        <v>8</v>
      </c>
      <c r="J358" s="2" t="s">
        <v>3</v>
      </c>
    </row>
    <row r="359" spans="9:10" x14ac:dyDescent="0.25">
      <c r="I359" s="2" t="s">
        <v>8</v>
      </c>
      <c r="J359" s="2" t="s">
        <v>317</v>
      </c>
    </row>
    <row r="360" spans="9:10" x14ac:dyDescent="0.25">
      <c r="I360" s="2" t="s">
        <v>8</v>
      </c>
      <c r="J360" s="2" t="s">
        <v>318</v>
      </c>
    </row>
    <row r="361" spans="9:10" x14ac:dyDescent="0.25">
      <c r="I361" s="2" t="s">
        <v>8</v>
      </c>
      <c r="J361" s="2" t="s">
        <v>319</v>
      </c>
    </row>
    <row r="362" spans="9:10" x14ac:dyDescent="0.25">
      <c r="I362" s="2" t="s">
        <v>8</v>
      </c>
      <c r="J362" s="2" t="s">
        <v>320</v>
      </c>
    </row>
    <row r="363" spans="9:10" x14ac:dyDescent="0.25">
      <c r="I363" s="2" t="s">
        <v>8</v>
      </c>
      <c r="J363" s="2" t="s">
        <v>321</v>
      </c>
    </row>
    <row r="364" spans="9:10" x14ac:dyDescent="0.25">
      <c r="I364" s="2" t="s">
        <v>8</v>
      </c>
      <c r="J364" s="2" t="s">
        <v>322</v>
      </c>
    </row>
    <row r="365" spans="9:10" x14ac:dyDescent="0.25">
      <c r="I365" s="2" t="s">
        <v>8</v>
      </c>
      <c r="J365" s="2" t="s">
        <v>323</v>
      </c>
    </row>
    <row r="366" spans="9:10" x14ac:dyDescent="0.25">
      <c r="I366" s="2" t="s">
        <v>8</v>
      </c>
      <c r="J366" s="2" t="s">
        <v>324</v>
      </c>
    </row>
    <row r="367" spans="9:10" x14ac:dyDescent="0.25">
      <c r="I367" s="2" t="s">
        <v>8</v>
      </c>
      <c r="J367" s="2" t="s">
        <v>325</v>
      </c>
    </row>
    <row r="368" spans="9:10" x14ac:dyDescent="0.25">
      <c r="I368" s="2" t="s">
        <v>8</v>
      </c>
      <c r="J368" s="2" t="s">
        <v>326</v>
      </c>
    </row>
    <row r="369" spans="9:10" x14ac:dyDescent="0.25">
      <c r="I369" s="2" t="s">
        <v>8</v>
      </c>
      <c r="J369" s="2" t="s">
        <v>327</v>
      </c>
    </row>
    <row r="370" spans="9:10" x14ac:dyDescent="0.25">
      <c r="I370" s="2" t="s">
        <v>8</v>
      </c>
      <c r="J370" s="2" t="s">
        <v>328</v>
      </c>
    </row>
    <row r="371" spans="9:10" x14ac:dyDescent="0.25">
      <c r="I371" s="2" t="s">
        <v>8</v>
      </c>
      <c r="J371" s="2" t="s">
        <v>329</v>
      </c>
    </row>
    <row r="372" spans="9:10" x14ac:dyDescent="0.25">
      <c r="I372" s="2" t="s">
        <v>8</v>
      </c>
      <c r="J372" s="2" t="s">
        <v>330</v>
      </c>
    </row>
    <row r="373" spans="9:10" x14ac:dyDescent="0.25">
      <c r="I373" s="2" t="s">
        <v>8</v>
      </c>
      <c r="J373" s="2" t="s">
        <v>331</v>
      </c>
    </row>
    <row r="374" spans="9:10" x14ac:dyDescent="0.25">
      <c r="I374" s="2" t="s">
        <v>8</v>
      </c>
      <c r="J374" s="2" t="s">
        <v>5</v>
      </c>
    </row>
    <row r="375" spans="9:10" x14ac:dyDescent="0.25">
      <c r="I375" s="2" t="s">
        <v>8</v>
      </c>
      <c r="J375" s="2" t="s">
        <v>6</v>
      </c>
    </row>
    <row r="376" spans="9:10" x14ac:dyDescent="0.25">
      <c r="I376" s="2" t="s">
        <v>8</v>
      </c>
      <c r="J376" s="2" t="s">
        <v>332</v>
      </c>
    </row>
    <row r="377" spans="9:10" x14ac:dyDescent="0.25">
      <c r="I377" s="2" t="s">
        <v>8</v>
      </c>
      <c r="J377" s="2" t="s">
        <v>333</v>
      </c>
    </row>
    <row r="378" spans="9:10" x14ac:dyDescent="0.25">
      <c r="I378" s="2" t="s">
        <v>8</v>
      </c>
      <c r="J378" s="2" t="s">
        <v>334</v>
      </c>
    </row>
    <row r="379" spans="9:10" x14ac:dyDescent="0.25">
      <c r="I379" s="2" t="s">
        <v>8</v>
      </c>
      <c r="J379" s="2" t="s">
        <v>335</v>
      </c>
    </row>
    <row r="380" spans="9:10" x14ac:dyDescent="0.25">
      <c r="I380" s="2" t="s">
        <v>8</v>
      </c>
      <c r="J380" s="2" t="s">
        <v>336</v>
      </c>
    </row>
    <row r="381" spans="9:10" x14ac:dyDescent="0.25">
      <c r="I381" s="2" t="s">
        <v>8</v>
      </c>
      <c r="J381" s="2" t="s">
        <v>337</v>
      </c>
    </row>
    <row r="382" spans="9:10" x14ac:dyDescent="0.25">
      <c r="I382" s="2" t="s">
        <v>8</v>
      </c>
      <c r="J382" s="2" t="s">
        <v>338</v>
      </c>
    </row>
    <row r="383" spans="9:10" x14ac:dyDescent="0.25">
      <c r="I383" s="2" t="s">
        <v>8</v>
      </c>
      <c r="J383" s="2" t="s">
        <v>339</v>
      </c>
    </row>
    <row r="384" spans="9:10" x14ac:dyDescent="0.25">
      <c r="I384" s="2" t="s">
        <v>8</v>
      </c>
      <c r="J384" s="2" t="s">
        <v>9</v>
      </c>
    </row>
    <row r="385" spans="9:10" x14ac:dyDescent="0.25">
      <c r="I385" s="2" t="s">
        <v>8</v>
      </c>
      <c r="J385" s="2" t="s">
        <v>340</v>
      </c>
    </row>
    <row r="386" spans="9:10" x14ac:dyDescent="0.25">
      <c r="I386" s="2" t="s">
        <v>8</v>
      </c>
      <c r="J386" s="2" t="s">
        <v>341</v>
      </c>
    </row>
    <row r="387" spans="9:10" x14ac:dyDescent="0.25">
      <c r="I387" s="2" t="s">
        <v>8</v>
      </c>
      <c r="J387" s="2" t="s">
        <v>342</v>
      </c>
    </row>
    <row r="388" spans="9:10" x14ac:dyDescent="0.25">
      <c r="I388" s="2" t="s">
        <v>8</v>
      </c>
      <c r="J388" s="2" t="s">
        <v>343</v>
      </c>
    </row>
    <row r="389" spans="9:10" x14ac:dyDescent="0.25">
      <c r="I389" s="2" t="s">
        <v>8</v>
      </c>
      <c r="J389" s="2" t="s">
        <v>344</v>
      </c>
    </row>
    <row r="390" spans="9:10" x14ac:dyDescent="0.25">
      <c r="I390" s="2" t="s">
        <v>8</v>
      </c>
      <c r="J390" s="2" t="s">
        <v>345</v>
      </c>
    </row>
    <row r="391" spans="9:10" x14ac:dyDescent="0.25">
      <c r="I391" s="2" t="s">
        <v>8</v>
      </c>
      <c r="J391" s="2" t="s">
        <v>346</v>
      </c>
    </row>
    <row r="392" spans="9:10" x14ac:dyDescent="0.25">
      <c r="I392" s="2" t="s">
        <v>8</v>
      </c>
      <c r="J392" s="2" t="s">
        <v>347</v>
      </c>
    </row>
    <row r="393" spans="9:10" x14ac:dyDescent="0.25">
      <c r="I393" s="2" t="s">
        <v>8</v>
      </c>
      <c r="J393" s="2" t="s">
        <v>348</v>
      </c>
    </row>
    <row r="394" spans="9:10" x14ac:dyDescent="0.25">
      <c r="I394" s="2" t="s">
        <v>8</v>
      </c>
      <c r="J394" s="2" t="s">
        <v>349</v>
      </c>
    </row>
    <row r="395" spans="9:10" x14ac:dyDescent="0.25">
      <c r="I395" s="2" t="s">
        <v>8</v>
      </c>
      <c r="J395" s="2" t="s">
        <v>350</v>
      </c>
    </row>
    <row r="396" spans="9:10" x14ac:dyDescent="0.25">
      <c r="I396" s="2" t="s">
        <v>8</v>
      </c>
      <c r="J396" s="2" t="s">
        <v>351</v>
      </c>
    </row>
    <row r="397" spans="9:10" x14ac:dyDescent="0.25">
      <c r="I397" s="2" t="s">
        <v>8</v>
      </c>
      <c r="J397" s="2" t="s">
        <v>352</v>
      </c>
    </row>
    <row r="398" spans="9:10" x14ac:dyDescent="0.25">
      <c r="I398" s="2" t="s">
        <v>8</v>
      </c>
      <c r="J398" s="2" t="s">
        <v>353</v>
      </c>
    </row>
    <row r="399" spans="9:10" x14ac:dyDescent="0.25">
      <c r="I399" s="2" t="s">
        <v>8</v>
      </c>
      <c r="J399" s="2" t="s">
        <v>354</v>
      </c>
    </row>
    <row r="400" spans="9:10" x14ac:dyDescent="0.25">
      <c r="I400" s="2" t="s">
        <v>8</v>
      </c>
      <c r="J400" s="2" t="s">
        <v>355</v>
      </c>
    </row>
    <row r="401" spans="9:10" x14ac:dyDescent="0.25">
      <c r="I401" s="2" t="s">
        <v>8</v>
      </c>
      <c r="J401" s="2" t="s">
        <v>356</v>
      </c>
    </row>
    <row r="402" spans="9:10" x14ac:dyDescent="0.25">
      <c r="I402" s="2" t="s">
        <v>8</v>
      </c>
      <c r="J402" s="2" t="s">
        <v>357</v>
      </c>
    </row>
    <row r="403" spans="9:10" x14ac:dyDescent="0.25">
      <c r="I403" s="2" t="s">
        <v>2</v>
      </c>
      <c r="J403" s="2" t="s">
        <v>324</v>
      </c>
    </row>
    <row r="404" spans="9:10" x14ac:dyDescent="0.25">
      <c r="I404" s="2" t="s">
        <v>2</v>
      </c>
      <c r="J404" s="2" t="s">
        <v>336</v>
      </c>
    </row>
    <row r="405" spans="9:10" x14ac:dyDescent="0.25">
      <c r="I405" s="2" t="s">
        <v>2</v>
      </c>
      <c r="J405" s="2" t="s">
        <v>341</v>
      </c>
    </row>
    <row r="406" spans="9:10" x14ac:dyDescent="0.25">
      <c r="I406" s="2" t="s">
        <v>2</v>
      </c>
      <c r="J406" s="2" t="s">
        <v>356</v>
      </c>
    </row>
    <row r="407" spans="9:10" x14ac:dyDescent="0.25">
      <c r="I407" s="2" t="s">
        <v>2</v>
      </c>
      <c r="J407" s="2" t="s">
        <v>330</v>
      </c>
    </row>
    <row r="408" spans="9:10" x14ac:dyDescent="0.25">
      <c r="I408" s="2" t="s">
        <v>2</v>
      </c>
      <c r="J408" s="2" t="s">
        <v>347</v>
      </c>
    </row>
    <row r="409" spans="9:10" x14ac:dyDescent="0.25">
      <c r="I409" s="2" t="s">
        <v>2</v>
      </c>
      <c r="J409" s="2" t="s">
        <v>354</v>
      </c>
    </row>
    <row r="410" spans="9:10" x14ac:dyDescent="0.25">
      <c r="I410" s="2" t="s">
        <v>2</v>
      </c>
      <c r="J410" s="2" t="s">
        <v>317</v>
      </c>
    </row>
    <row r="411" spans="9:10" x14ac:dyDescent="0.25">
      <c r="I411" s="2" t="s">
        <v>2</v>
      </c>
      <c r="J411" s="2" t="s">
        <v>318</v>
      </c>
    </row>
    <row r="412" spans="9:10" x14ac:dyDescent="0.25">
      <c r="I412" s="2" t="s">
        <v>2</v>
      </c>
      <c r="J412" s="2" t="s">
        <v>322</v>
      </c>
    </row>
    <row r="413" spans="9:10" x14ac:dyDescent="0.25">
      <c r="I413" s="2" t="s">
        <v>2</v>
      </c>
      <c r="J413" s="2" t="s">
        <v>325</v>
      </c>
    </row>
    <row r="414" spans="9:10" x14ac:dyDescent="0.25">
      <c r="I414" s="2" t="s">
        <v>2</v>
      </c>
      <c r="J414" s="2" t="s">
        <v>320</v>
      </c>
    </row>
    <row r="415" spans="9:10" x14ac:dyDescent="0.25">
      <c r="I415" s="2" t="s">
        <v>2</v>
      </c>
      <c r="J415" s="2" t="s">
        <v>319</v>
      </c>
    </row>
    <row r="416" spans="9:10" x14ac:dyDescent="0.25">
      <c r="I416" s="2" t="s">
        <v>2</v>
      </c>
      <c r="J416" s="2" t="s">
        <v>315</v>
      </c>
    </row>
    <row r="417" spans="9:10" x14ac:dyDescent="0.25">
      <c r="I417" s="2" t="s">
        <v>2</v>
      </c>
      <c r="J417" s="2" t="s">
        <v>17</v>
      </c>
    </row>
    <row r="418" spans="9:10" x14ac:dyDescent="0.25">
      <c r="I418" s="2" t="s">
        <v>2</v>
      </c>
      <c r="J418" s="2" t="s">
        <v>358</v>
      </c>
    </row>
    <row r="419" spans="9:10" x14ac:dyDescent="0.25">
      <c r="I419" s="2" t="s">
        <v>2</v>
      </c>
      <c r="J419" s="2" t="s">
        <v>353</v>
      </c>
    </row>
    <row r="420" spans="9:10" x14ac:dyDescent="0.25">
      <c r="I420" s="2" t="s">
        <v>2</v>
      </c>
      <c r="J420" s="2" t="s">
        <v>5</v>
      </c>
    </row>
    <row r="421" spans="9:10" x14ac:dyDescent="0.25">
      <c r="I421" s="2" t="s">
        <v>2</v>
      </c>
      <c r="J421" s="2" t="s">
        <v>359</v>
      </c>
    </row>
    <row r="422" spans="9:10" x14ac:dyDescent="0.25">
      <c r="I422" s="2" t="s">
        <v>2</v>
      </c>
      <c r="J422" s="2" t="s">
        <v>6</v>
      </c>
    </row>
    <row r="423" spans="9:10" x14ac:dyDescent="0.25">
      <c r="I423" s="2" t="s">
        <v>2</v>
      </c>
      <c r="J423" s="2" t="s">
        <v>323</v>
      </c>
    </row>
    <row r="424" spans="9:10" x14ac:dyDescent="0.25">
      <c r="I424" s="2" t="s">
        <v>2</v>
      </c>
      <c r="J424" s="2" t="s">
        <v>349</v>
      </c>
    </row>
    <row r="425" spans="9:10" x14ac:dyDescent="0.25">
      <c r="I425" s="2" t="s">
        <v>2</v>
      </c>
      <c r="J425" s="2" t="s">
        <v>3</v>
      </c>
    </row>
    <row r="426" spans="9:10" x14ac:dyDescent="0.25">
      <c r="I426" s="2" t="s">
        <v>2</v>
      </c>
      <c r="J426" s="2" t="s">
        <v>360</v>
      </c>
    </row>
    <row r="427" spans="9:10" x14ac:dyDescent="0.25">
      <c r="I427" s="2" t="s">
        <v>2</v>
      </c>
      <c r="J427" s="2" t="s">
        <v>361</v>
      </c>
    </row>
    <row r="428" spans="9:10" x14ac:dyDescent="0.25">
      <c r="I428" s="2" t="s">
        <v>2</v>
      </c>
      <c r="J428" s="2" t="s">
        <v>7</v>
      </c>
    </row>
    <row r="429" spans="9:10" x14ac:dyDescent="0.25">
      <c r="I429" s="2" t="s">
        <v>2</v>
      </c>
      <c r="J429" s="2" t="s">
        <v>362</v>
      </c>
    </row>
    <row r="430" spans="9:10" x14ac:dyDescent="0.25">
      <c r="I430" s="2" t="s">
        <v>2</v>
      </c>
      <c r="J430" s="2" t="s">
        <v>363</v>
      </c>
    </row>
    <row r="431" spans="9:10" x14ac:dyDescent="0.25">
      <c r="I431" s="2" t="s">
        <v>2</v>
      </c>
      <c r="J431" s="2" t="s">
        <v>364</v>
      </c>
    </row>
    <row r="432" spans="9:10" x14ac:dyDescent="0.25">
      <c r="I432" s="2" t="s">
        <v>2</v>
      </c>
      <c r="J432" s="2" t="s">
        <v>365</v>
      </c>
    </row>
    <row r="433" spans="9:10" x14ac:dyDescent="0.25">
      <c r="I433" s="2" t="s">
        <v>2</v>
      </c>
      <c r="J433" s="2" t="s">
        <v>366</v>
      </c>
    </row>
    <row r="434" spans="9:10" x14ac:dyDescent="0.25">
      <c r="I434" s="2" t="s">
        <v>2</v>
      </c>
      <c r="J434" s="2" t="s">
        <v>352</v>
      </c>
    </row>
    <row r="435" spans="9:10" x14ac:dyDescent="0.25">
      <c r="I435" s="2" t="s">
        <v>2</v>
      </c>
      <c r="J435" s="2" t="s">
        <v>367</v>
      </c>
    </row>
    <row r="436" spans="9:10" x14ac:dyDescent="0.25">
      <c r="I436" s="2" t="s">
        <v>2</v>
      </c>
      <c r="J436" s="2" t="s">
        <v>16</v>
      </c>
    </row>
    <row r="437" spans="9:10" x14ac:dyDescent="0.25">
      <c r="I437" s="2" t="s">
        <v>2</v>
      </c>
      <c r="J437" s="2" t="s">
        <v>368</v>
      </c>
    </row>
    <row r="438" spans="9:10" x14ac:dyDescent="0.25">
      <c r="I438" s="2" t="s">
        <v>2</v>
      </c>
      <c r="J438" s="2" t="s">
        <v>4</v>
      </c>
    </row>
    <row r="439" spans="9:10" x14ac:dyDescent="0.25">
      <c r="I439" s="2" t="s">
        <v>2</v>
      </c>
      <c r="J439" s="2" t="s">
        <v>350</v>
      </c>
    </row>
    <row r="440" spans="9:10" x14ac:dyDescent="0.25">
      <c r="I440" s="2" t="s">
        <v>2</v>
      </c>
      <c r="J440" s="2" t="s">
        <v>331</v>
      </c>
    </row>
    <row r="441" spans="9:10" x14ac:dyDescent="0.25">
      <c r="I441" s="2" t="s">
        <v>2</v>
      </c>
      <c r="J441" s="2" t="s">
        <v>351</v>
      </c>
    </row>
    <row r="442" spans="9:10" x14ac:dyDescent="0.25">
      <c r="I442" s="2" t="s">
        <v>2</v>
      </c>
      <c r="J442" s="2" t="s">
        <v>339</v>
      </c>
    </row>
    <row r="443" spans="9:10" x14ac:dyDescent="0.25">
      <c r="I443" s="2" t="s">
        <v>2</v>
      </c>
      <c r="J443" s="2" t="s">
        <v>10</v>
      </c>
    </row>
    <row r="444" spans="9:10" ht="30" x14ac:dyDescent="0.25">
      <c r="I444" s="2" t="s">
        <v>369</v>
      </c>
      <c r="J444" s="2" t="s">
        <v>370</v>
      </c>
    </row>
    <row r="445" spans="9:10" ht="30" x14ac:dyDescent="0.25">
      <c r="I445" s="2" t="s">
        <v>369</v>
      </c>
      <c r="J445" s="2" t="s">
        <v>371</v>
      </c>
    </row>
    <row r="446" spans="9:10" ht="30" x14ac:dyDescent="0.25">
      <c r="I446" s="2" t="s">
        <v>369</v>
      </c>
      <c r="J446" s="2" t="s">
        <v>372</v>
      </c>
    </row>
    <row r="447" spans="9:10" ht="30" x14ac:dyDescent="0.25">
      <c r="I447" s="2" t="s">
        <v>369</v>
      </c>
      <c r="J447" s="2" t="s">
        <v>373</v>
      </c>
    </row>
    <row r="448" spans="9:10" ht="30" x14ac:dyDescent="0.25">
      <c r="I448" s="2" t="s">
        <v>369</v>
      </c>
      <c r="J448" s="2" t="s">
        <v>374</v>
      </c>
    </row>
    <row r="449" spans="9:10" ht="30" x14ac:dyDescent="0.25">
      <c r="I449" s="2" t="s">
        <v>369</v>
      </c>
      <c r="J449" s="2" t="s">
        <v>375</v>
      </c>
    </row>
    <row r="450" spans="9:10" ht="30" x14ac:dyDescent="0.25">
      <c r="I450" s="2" t="s">
        <v>369</v>
      </c>
      <c r="J450" s="2" t="s">
        <v>376</v>
      </c>
    </row>
    <row r="451" spans="9:10" ht="30" x14ac:dyDescent="0.25">
      <c r="I451" s="2" t="s">
        <v>369</v>
      </c>
      <c r="J451" s="2" t="s">
        <v>377</v>
      </c>
    </row>
    <row r="452" spans="9:10" ht="30" x14ac:dyDescent="0.25">
      <c r="I452" s="2" t="s">
        <v>369</v>
      </c>
      <c r="J452" s="2" t="s">
        <v>378</v>
      </c>
    </row>
    <row r="453" spans="9:10" ht="30" x14ac:dyDescent="0.25">
      <c r="I453" s="2" t="s">
        <v>369</v>
      </c>
      <c r="J453" s="2" t="s">
        <v>379</v>
      </c>
    </row>
    <row r="454" spans="9:10" ht="30" x14ac:dyDescent="0.25">
      <c r="I454" s="2" t="s">
        <v>369</v>
      </c>
      <c r="J454" s="2" t="s">
        <v>380</v>
      </c>
    </row>
    <row r="455" spans="9:10" ht="30" x14ac:dyDescent="0.25">
      <c r="I455" s="2" t="s">
        <v>369</v>
      </c>
      <c r="J455" s="2" t="s">
        <v>381</v>
      </c>
    </row>
    <row r="456" spans="9:10" ht="30" x14ac:dyDescent="0.25">
      <c r="I456" s="2" t="s">
        <v>369</v>
      </c>
      <c r="J456" s="2" t="s">
        <v>382</v>
      </c>
    </row>
    <row r="457" spans="9:10" x14ac:dyDescent="0.25">
      <c r="I457" s="2" t="s">
        <v>383</v>
      </c>
      <c r="J457" s="2" t="s">
        <v>384</v>
      </c>
    </row>
    <row r="458" spans="9:10" x14ac:dyDescent="0.25">
      <c r="I458" s="2" t="s">
        <v>383</v>
      </c>
      <c r="J458" s="2" t="s">
        <v>385</v>
      </c>
    </row>
    <row r="459" spans="9:10" x14ac:dyDescent="0.25">
      <c r="I459" s="2" t="s">
        <v>383</v>
      </c>
      <c r="J459" s="2" t="s">
        <v>386</v>
      </c>
    </row>
    <row r="460" spans="9:10" x14ac:dyDescent="0.25">
      <c r="I460" s="2" t="s">
        <v>383</v>
      </c>
      <c r="J460" s="2" t="s">
        <v>387</v>
      </c>
    </row>
    <row r="461" spans="9:10" x14ac:dyDescent="0.25">
      <c r="I461" s="2" t="s">
        <v>383</v>
      </c>
      <c r="J461" s="2" t="s">
        <v>388</v>
      </c>
    </row>
    <row r="462" spans="9:10" x14ac:dyDescent="0.25">
      <c r="I462" s="2" t="s">
        <v>383</v>
      </c>
      <c r="J462" s="2" t="s">
        <v>389</v>
      </c>
    </row>
    <row r="463" spans="9:10" x14ac:dyDescent="0.25">
      <c r="I463" s="2" t="s">
        <v>383</v>
      </c>
      <c r="J463" s="2" t="s">
        <v>390</v>
      </c>
    </row>
    <row r="464" spans="9:10" x14ac:dyDescent="0.25">
      <c r="I464" s="2" t="s">
        <v>383</v>
      </c>
      <c r="J464" s="2" t="s">
        <v>391</v>
      </c>
    </row>
    <row r="465" spans="9:10" x14ac:dyDescent="0.25">
      <c r="I465" s="2" t="s">
        <v>383</v>
      </c>
      <c r="J465" s="2" t="s">
        <v>392</v>
      </c>
    </row>
    <row r="466" spans="9:10" x14ac:dyDescent="0.25">
      <c r="I466" s="2" t="s">
        <v>383</v>
      </c>
      <c r="J466" s="2" t="s">
        <v>393</v>
      </c>
    </row>
    <row r="467" spans="9:10" x14ac:dyDescent="0.25">
      <c r="I467" s="2" t="s">
        <v>383</v>
      </c>
      <c r="J467" s="2" t="s">
        <v>394</v>
      </c>
    </row>
    <row r="468" spans="9:10" x14ac:dyDescent="0.25">
      <c r="I468" s="2" t="s">
        <v>383</v>
      </c>
      <c r="J468" s="2" t="s">
        <v>395</v>
      </c>
    </row>
    <row r="469" spans="9:10" x14ac:dyDescent="0.25">
      <c r="I469" s="2" t="s">
        <v>383</v>
      </c>
      <c r="J469" s="2" t="s">
        <v>396</v>
      </c>
    </row>
    <row r="470" spans="9:10" x14ac:dyDescent="0.25">
      <c r="I470" s="2" t="s">
        <v>383</v>
      </c>
      <c r="J470" s="2" t="s">
        <v>397</v>
      </c>
    </row>
    <row r="471" spans="9:10" x14ac:dyDescent="0.25">
      <c r="I471" s="2" t="s">
        <v>383</v>
      </c>
      <c r="J471" s="2" t="s">
        <v>398</v>
      </c>
    </row>
    <row r="472" spans="9:10" x14ac:dyDescent="0.25">
      <c r="I472" s="2" t="s">
        <v>383</v>
      </c>
      <c r="J472" s="2" t="s">
        <v>399</v>
      </c>
    </row>
    <row r="473" spans="9:10" x14ac:dyDescent="0.25">
      <c r="I473" s="2" t="s">
        <v>383</v>
      </c>
      <c r="J473" s="2" t="s">
        <v>400</v>
      </c>
    </row>
    <row r="474" spans="9:10" x14ac:dyDescent="0.25">
      <c r="I474" s="2" t="s">
        <v>383</v>
      </c>
      <c r="J474" s="2" t="s">
        <v>401</v>
      </c>
    </row>
    <row r="475" spans="9:10" x14ac:dyDescent="0.25">
      <c r="I475" s="2" t="s">
        <v>383</v>
      </c>
      <c r="J475" s="2" t="s">
        <v>402</v>
      </c>
    </row>
    <row r="476" spans="9:10" x14ac:dyDescent="0.25">
      <c r="I476" s="2" t="s">
        <v>383</v>
      </c>
      <c r="J476" s="2" t="s">
        <v>403</v>
      </c>
    </row>
    <row r="477" spans="9:10" x14ac:dyDescent="0.25">
      <c r="I477" s="2" t="s">
        <v>383</v>
      </c>
      <c r="J477" s="2" t="s">
        <v>404</v>
      </c>
    </row>
    <row r="478" spans="9:10" x14ac:dyDescent="0.25">
      <c r="I478" s="2" t="s">
        <v>383</v>
      </c>
      <c r="J478" s="2" t="s">
        <v>405</v>
      </c>
    </row>
    <row r="479" spans="9:10" x14ac:dyDescent="0.25">
      <c r="I479" s="2" t="s">
        <v>383</v>
      </c>
      <c r="J479" s="2" t="s">
        <v>406</v>
      </c>
    </row>
    <row r="480" spans="9:10" x14ac:dyDescent="0.25">
      <c r="I480" s="2" t="s">
        <v>383</v>
      </c>
      <c r="J480" s="2" t="s">
        <v>407</v>
      </c>
    </row>
    <row r="481" spans="9:10" x14ac:dyDescent="0.25">
      <c r="I481" s="2" t="s">
        <v>383</v>
      </c>
      <c r="J481" s="2" t="s">
        <v>408</v>
      </c>
    </row>
    <row r="482" spans="9:10" x14ac:dyDescent="0.25">
      <c r="I482" s="2" t="s">
        <v>383</v>
      </c>
      <c r="J482" s="2" t="s">
        <v>409</v>
      </c>
    </row>
    <row r="483" spans="9:10" x14ac:dyDescent="0.25">
      <c r="I483" s="2" t="s">
        <v>410</v>
      </c>
      <c r="J483" s="2" t="s">
        <v>411</v>
      </c>
    </row>
    <row r="484" spans="9:10" x14ac:dyDescent="0.25">
      <c r="I484" s="2" t="s">
        <v>410</v>
      </c>
      <c r="J484" s="2" t="s">
        <v>412</v>
      </c>
    </row>
    <row r="485" spans="9:10" x14ac:dyDescent="0.25">
      <c r="I485" s="2" t="s">
        <v>410</v>
      </c>
      <c r="J485" s="2" t="s">
        <v>413</v>
      </c>
    </row>
    <row r="486" spans="9:10" x14ac:dyDescent="0.25">
      <c r="I486" s="2" t="s">
        <v>410</v>
      </c>
      <c r="J486" s="2" t="s">
        <v>414</v>
      </c>
    </row>
    <row r="487" spans="9:10" x14ac:dyDescent="0.25">
      <c r="I487" s="2" t="s">
        <v>410</v>
      </c>
      <c r="J487" s="2" t="s">
        <v>415</v>
      </c>
    </row>
    <row r="488" spans="9:10" x14ac:dyDescent="0.25">
      <c r="I488" s="2" t="s">
        <v>410</v>
      </c>
      <c r="J488" s="2" t="s">
        <v>416</v>
      </c>
    </row>
    <row r="489" spans="9:10" x14ac:dyDescent="0.25">
      <c r="I489" s="2" t="s">
        <v>410</v>
      </c>
      <c r="J489" s="2" t="s">
        <v>417</v>
      </c>
    </row>
    <row r="490" spans="9:10" x14ac:dyDescent="0.25">
      <c r="I490" s="2" t="s">
        <v>410</v>
      </c>
      <c r="J490" s="2" t="s">
        <v>418</v>
      </c>
    </row>
    <row r="491" spans="9:10" x14ac:dyDescent="0.25">
      <c r="I491" s="2" t="s">
        <v>410</v>
      </c>
      <c r="J491" s="2" t="s">
        <v>419</v>
      </c>
    </row>
    <row r="492" spans="9:10" x14ac:dyDescent="0.25">
      <c r="I492" s="2" t="s">
        <v>420</v>
      </c>
      <c r="J492" s="2" t="s">
        <v>421</v>
      </c>
    </row>
    <row r="493" spans="9:10" x14ac:dyDescent="0.25">
      <c r="I493" s="2" t="s">
        <v>420</v>
      </c>
      <c r="J493" s="2" t="s">
        <v>422</v>
      </c>
    </row>
    <row r="494" spans="9:10" x14ac:dyDescent="0.25">
      <c r="I494" s="2" t="s">
        <v>420</v>
      </c>
      <c r="J494" s="2" t="s">
        <v>423</v>
      </c>
    </row>
    <row r="495" spans="9:10" x14ac:dyDescent="0.25">
      <c r="I495" s="2" t="s">
        <v>420</v>
      </c>
      <c r="J495" s="2" t="s">
        <v>424</v>
      </c>
    </row>
    <row r="496" spans="9:10" x14ac:dyDescent="0.25">
      <c r="I496" s="2" t="s">
        <v>420</v>
      </c>
      <c r="J496" s="2" t="s">
        <v>425</v>
      </c>
    </row>
    <row r="497" spans="9:10" x14ac:dyDescent="0.25">
      <c r="I497" s="2" t="s">
        <v>420</v>
      </c>
      <c r="J497" s="2" t="s">
        <v>426</v>
      </c>
    </row>
    <row r="498" spans="9:10" x14ac:dyDescent="0.25">
      <c r="I498" s="2" t="s">
        <v>420</v>
      </c>
      <c r="J498" s="2" t="s">
        <v>427</v>
      </c>
    </row>
    <row r="499" spans="9:10" x14ac:dyDescent="0.25">
      <c r="I499" s="2" t="s">
        <v>420</v>
      </c>
      <c r="J499" s="2" t="s">
        <v>428</v>
      </c>
    </row>
    <row r="500" spans="9:10" x14ac:dyDescent="0.25">
      <c r="I500" s="2" t="s">
        <v>420</v>
      </c>
      <c r="J500" s="2" t="s">
        <v>429</v>
      </c>
    </row>
    <row r="501" spans="9:10" x14ac:dyDescent="0.25">
      <c r="I501" s="2" t="s">
        <v>420</v>
      </c>
      <c r="J501" s="2" t="s">
        <v>430</v>
      </c>
    </row>
    <row r="502" spans="9:10" x14ac:dyDescent="0.25">
      <c r="I502" s="2" t="s">
        <v>420</v>
      </c>
      <c r="J502" s="2" t="s">
        <v>431</v>
      </c>
    </row>
    <row r="503" spans="9:10" x14ac:dyDescent="0.25">
      <c r="I503" s="2" t="s">
        <v>420</v>
      </c>
      <c r="J503" s="2" t="s">
        <v>432</v>
      </c>
    </row>
    <row r="504" spans="9:10" x14ac:dyDescent="0.25">
      <c r="I504" s="2" t="s">
        <v>420</v>
      </c>
      <c r="J504" s="2" t="s">
        <v>433</v>
      </c>
    </row>
    <row r="505" spans="9:10" x14ac:dyDescent="0.25">
      <c r="I505" s="2" t="s">
        <v>420</v>
      </c>
      <c r="J505" s="2" t="s">
        <v>434</v>
      </c>
    </row>
    <row r="506" spans="9:10" x14ac:dyDescent="0.25">
      <c r="I506" s="2" t="s">
        <v>420</v>
      </c>
      <c r="J506" s="2" t="s">
        <v>435</v>
      </c>
    </row>
    <row r="507" spans="9:10" x14ac:dyDescent="0.25">
      <c r="I507" s="2" t="s">
        <v>420</v>
      </c>
      <c r="J507" s="2" t="s">
        <v>436</v>
      </c>
    </row>
    <row r="508" spans="9:10" x14ac:dyDescent="0.25">
      <c r="I508" s="2" t="s">
        <v>420</v>
      </c>
      <c r="J508" s="2" t="s">
        <v>437</v>
      </c>
    </row>
    <row r="509" spans="9:10" x14ac:dyDescent="0.25">
      <c r="I509" s="2" t="s">
        <v>420</v>
      </c>
      <c r="J509" s="2" t="s">
        <v>438</v>
      </c>
    </row>
    <row r="510" spans="9:10" x14ac:dyDescent="0.25">
      <c r="I510" s="2" t="s">
        <v>420</v>
      </c>
      <c r="J510" s="2" t="s">
        <v>439</v>
      </c>
    </row>
    <row r="511" spans="9:10" x14ac:dyDescent="0.25">
      <c r="I511" s="2" t="s">
        <v>420</v>
      </c>
      <c r="J511" s="2" t="s">
        <v>440</v>
      </c>
    </row>
    <row r="512" spans="9:10" x14ac:dyDescent="0.25">
      <c r="I512" s="2" t="s">
        <v>420</v>
      </c>
      <c r="J512" s="2" t="s">
        <v>441</v>
      </c>
    </row>
    <row r="513" spans="9:10" x14ac:dyDescent="0.25">
      <c r="I513" s="2" t="s">
        <v>420</v>
      </c>
      <c r="J513" s="2" t="s">
        <v>442</v>
      </c>
    </row>
    <row r="514" spans="9:10" x14ac:dyDescent="0.25">
      <c r="I514" s="2" t="s">
        <v>420</v>
      </c>
      <c r="J514" s="2" t="s">
        <v>443</v>
      </c>
    </row>
    <row r="515" spans="9:10" x14ac:dyDescent="0.25">
      <c r="I515" s="2" t="s">
        <v>420</v>
      </c>
      <c r="J515" s="2" t="s">
        <v>444</v>
      </c>
    </row>
    <row r="516" spans="9:10" x14ac:dyDescent="0.25">
      <c r="I516" s="2" t="s">
        <v>420</v>
      </c>
      <c r="J516" s="2" t="s">
        <v>445</v>
      </c>
    </row>
    <row r="517" spans="9:10" x14ac:dyDescent="0.25">
      <c r="I517" s="2" t="s">
        <v>420</v>
      </c>
      <c r="J517" s="2" t="s">
        <v>446</v>
      </c>
    </row>
    <row r="518" spans="9:10" x14ac:dyDescent="0.25">
      <c r="I518" s="2" t="s">
        <v>420</v>
      </c>
      <c r="J518" s="2" t="s">
        <v>447</v>
      </c>
    </row>
    <row r="519" spans="9:10" x14ac:dyDescent="0.25">
      <c r="I519" s="2" t="s">
        <v>420</v>
      </c>
      <c r="J519" s="2" t="s">
        <v>448</v>
      </c>
    </row>
    <row r="520" spans="9:10" x14ac:dyDescent="0.25">
      <c r="I520" s="2" t="s">
        <v>420</v>
      </c>
      <c r="J520" s="2" t="s">
        <v>449</v>
      </c>
    </row>
    <row r="521" spans="9:10" x14ac:dyDescent="0.25">
      <c r="I521" s="2" t="s">
        <v>420</v>
      </c>
      <c r="J521" s="2" t="s">
        <v>450</v>
      </c>
    </row>
    <row r="522" spans="9:10" x14ac:dyDescent="0.25">
      <c r="I522" s="2" t="s">
        <v>420</v>
      </c>
      <c r="J522" s="2" t="s">
        <v>451</v>
      </c>
    </row>
    <row r="523" spans="9:10" x14ac:dyDescent="0.25">
      <c r="I523" s="2" t="s">
        <v>420</v>
      </c>
      <c r="J523" s="2" t="s">
        <v>452</v>
      </c>
    </row>
    <row r="524" spans="9:10" x14ac:dyDescent="0.25">
      <c r="I524" s="2" t="s">
        <v>420</v>
      </c>
      <c r="J524" s="2" t="s">
        <v>453</v>
      </c>
    </row>
    <row r="525" spans="9:10" x14ac:dyDescent="0.25">
      <c r="I525" s="2" t="s">
        <v>420</v>
      </c>
      <c r="J525" s="2" t="s">
        <v>454</v>
      </c>
    </row>
    <row r="526" spans="9:10" x14ac:dyDescent="0.25">
      <c r="I526" s="2" t="s">
        <v>420</v>
      </c>
      <c r="J526" s="2" t="s">
        <v>455</v>
      </c>
    </row>
    <row r="527" spans="9:10" x14ac:dyDescent="0.25">
      <c r="I527" s="2" t="s">
        <v>456</v>
      </c>
      <c r="J527" s="2" t="s">
        <v>457</v>
      </c>
    </row>
    <row r="528" spans="9:10" x14ac:dyDescent="0.25">
      <c r="I528" s="2" t="s">
        <v>456</v>
      </c>
      <c r="J528" s="2" t="s">
        <v>458</v>
      </c>
    </row>
    <row r="529" spans="9:10" x14ac:dyDescent="0.25">
      <c r="I529" s="2" t="s">
        <v>456</v>
      </c>
      <c r="J529" s="2" t="s">
        <v>459</v>
      </c>
    </row>
    <row r="530" spans="9:10" x14ac:dyDescent="0.25">
      <c r="I530" s="2" t="s">
        <v>456</v>
      </c>
      <c r="J530" s="2" t="s">
        <v>460</v>
      </c>
    </row>
    <row r="531" spans="9:10" x14ac:dyDescent="0.25">
      <c r="I531" s="2" t="s">
        <v>456</v>
      </c>
      <c r="J531" s="2" t="s">
        <v>461</v>
      </c>
    </row>
    <row r="532" spans="9:10" x14ac:dyDescent="0.25">
      <c r="I532" s="2" t="s">
        <v>456</v>
      </c>
      <c r="J532" s="2" t="s">
        <v>462</v>
      </c>
    </row>
    <row r="533" spans="9:10" x14ac:dyDescent="0.25">
      <c r="I533" s="2" t="s">
        <v>456</v>
      </c>
      <c r="J533" s="2" t="s">
        <v>463</v>
      </c>
    </row>
    <row r="534" spans="9:10" x14ac:dyDescent="0.25">
      <c r="I534" s="2" t="s">
        <v>456</v>
      </c>
      <c r="J534" s="2" t="s">
        <v>464</v>
      </c>
    </row>
    <row r="535" spans="9:10" x14ac:dyDescent="0.25">
      <c r="I535" s="2" t="s">
        <v>456</v>
      </c>
      <c r="J535" s="2" t="s">
        <v>465</v>
      </c>
    </row>
    <row r="536" spans="9:10" x14ac:dyDescent="0.25">
      <c r="I536" s="2" t="s">
        <v>456</v>
      </c>
      <c r="J536" s="2" t="s">
        <v>466</v>
      </c>
    </row>
    <row r="537" spans="9:10" x14ac:dyDescent="0.25">
      <c r="I537" s="2" t="s">
        <v>456</v>
      </c>
      <c r="J537" s="2" t="s">
        <v>467</v>
      </c>
    </row>
    <row r="538" spans="9:10" x14ac:dyDescent="0.25">
      <c r="I538" s="2" t="s">
        <v>456</v>
      </c>
      <c r="J538" s="2" t="s">
        <v>468</v>
      </c>
    </row>
    <row r="539" spans="9:10" x14ac:dyDescent="0.25">
      <c r="I539" s="2" t="s">
        <v>469</v>
      </c>
      <c r="J539" s="2" t="s">
        <v>470</v>
      </c>
    </row>
    <row r="540" spans="9:10" x14ac:dyDescent="0.25">
      <c r="I540" s="2" t="s">
        <v>469</v>
      </c>
      <c r="J540" s="2" t="s">
        <v>471</v>
      </c>
    </row>
    <row r="541" spans="9:10" x14ac:dyDescent="0.25">
      <c r="I541" s="2" t="s">
        <v>469</v>
      </c>
      <c r="J541" s="2" t="s">
        <v>472</v>
      </c>
    </row>
    <row r="542" spans="9:10" x14ac:dyDescent="0.25">
      <c r="I542" s="2" t="s">
        <v>469</v>
      </c>
      <c r="J542" s="2" t="s">
        <v>473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P31"/>
  <sheetViews>
    <sheetView workbookViewId="0">
      <selection sqref="A1:P31"/>
    </sheetView>
  </sheetViews>
  <sheetFormatPr defaultRowHeight="15" x14ac:dyDescent="0.25"/>
  <cols>
    <col min="1" max="1" width="11.28515625" bestFit="1" customWidth="1"/>
    <col min="2" max="2" width="18.140625" bestFit="1" customWidth="1"/>
    <col min="3" max="3" width="11.7109375" bestFit="1" customWidth="1"/>
    <col min="4" max="4" width="12.28515625" bestFit="1" customWidth="1"/>
    <col min="5" max="5" width="18.5703125" bestFit="1" customWidth="1"/>
    <col min="6" max="6" width="20" bestFit="1" customWidth="1"/>
    <col min="7" max="7" width="16.7109375" bestFit="1" customWidth="1"/>
    <col min="8" max="8" width="17.5703125" bestFit="1" customWidth="1"/>
    <col min="9" max="9" width="14" bestFit="1" customWidth="1"/>
    <col min="10" max="10" width="14.140625" bestFit="1" customWidth="1"/>
    <col min="11" max="11" width="18.140625" bestFit="1" customWidth="1"/>
    <col min="12" max="12" width="14.85546875" bestFit="1" customWidth="1"/>
    <col min="13" max="13" width="12" bestFit="1" customWidth="1"/>
    <col min="14" max="14" width="10.140625" bestFit="1" customWidth="1"/>
    <col min="15" max="15" width="13.42578125" bestFit="1" customWidth="1"/>
    <col min="16" max="16" width="13.7109375" bestFit="1" customWidth="1"/>
    <col min="17" max="17" width="22.140625" bestFit="1" customWidth="1"/>
    <col min="18" max="18" width="14.7109375" bestFit="1" customWidth="1"/>
  </cols>
  <sheetData>
    <row r="1" spans="1:16" x14ac:dyDescent="0.25">
      <c r="A1" t="s">
        <v>493</v>
      </c>
      <c r="B1" t="s">
        <v>495</v>
      </c>
      <c r="C1" t="s">
        <v>496</v>
      </c>
      <c r="D1" t="s">
        <v>0</v>
      </c>
      <c r="E1" t="s">
        <v>1</v>
      </c>
      <c r="F1" t="s">
        <v>497</v>
      </c>
      <c r="G1" t="s">
        <v>498</v>
      </c>
      <c r="H1" t="s">
        <v>499</v>
      </c>
      <c r="I1" t="s">
        <v>500</v>
      </c>
      <c r="J1" t="s">
        <v>501</v>
      </c>
      <c r="K1" t="s">
        <v>502</v>
      </c>
      <c r="L1" t="s">
        <v>494</v>
      </c>
      <c r="M1" t="s">
        <v>475</v>
      </c>
      <c r="N1" t="s">
        <v>504</v>
      </c>
      <c r="O1" t="s">
        <v>505</v>
      </c>
      <c r="P1" t="s">
        <v>506</v>
      </c>
    </row>
    <row r="2" spans="1:16" x14ac:dyDescent="0.25">
      <c r="A2">
        <v>2</v>
      </c>
      <c r="B2">
        <v>1</v>
      </c>
      <c r="C2">
        <v>3</v>
      </c>
      <c r="D2" s="4" t="s">
        <v>8</v>
      </c>
      <c r="E2" s="4" t="s">
        <v>319</v>
      </c>
      <c r="F2">
        <v>1</v>
      </c>
      <c r="G2" t="b">
        <v>1</v>
      </c>
      <c r="H2" t="b">
        <v>1</v>
      </c>
      <c r="I2" t="b">
        <v>1</v>
      </c>
      <c r="J2" t="b">
        <v>1</v>
      </c>
      <c r="L2">
        <v>-1</v>
      </c>
      <c r="M2">
        <v>143.38</v>
      </c>
      <c r="N2" t="s">
        <v>514</v>
      </c>
      <c r="O2" t="s">
        <v>514</v>
      </c>
      <c r="P2" t="s">
        <v>514</v>
      </c>
    </row>
    <row r="3" spans="1:16" x14ac:dyDescent="0.25">
      <c r="A3">
        <v>19</v>
      </c>
      <c r="B3">
        <v>18</v>
      </c>
      <c r="C3">
        <v>3</v>
      </c>
      <c r="D3" s="4" t="s">
        <v>8</v>
      </c>
      <c r="E3" s="4" t="s">
        <v>319</v>
      </c>
      <c r="F3">
        <v>1</v>
      </c>
      <c r="G3" t="b">
        <v>1</v>
      </c>
      <c r="H3" t="b">
        <v>1</v>
      </c>
      <c r="I3" t="b">
        <v>1</v>
      </c>
      <c r="J3" t="b">
        <v>1</v>
      </c>
      <c r="L3">
        <v>-1</v>
      </c>
      <c r="M3">
        <v>143.38</v>
      </c>
      <c r="N3" t="s">
        <v>514</v>
      </c>
      <c r="O3" t="s">
        <v>514</v>
      </c>
      <c r="P3" t="s">
        <v>514</v>
      </c>
    </row>
    <row r="4" spans="1:16" x14ac:dyDescent="0.25">
      <c r="A4">
        <v>20</v>
      </c>
      <c r="B4">
        <v>19</v>
      </c>
      <c r="C4">
        <v>3</v>
      </c>
      <c r="D4" s="4" t="s">
        <v>8</v>
      </c>
      <c r="E4" s="4" t="s">
        <v>339</v>
      </c>
      <c r="F4">
        <v>1</v>
      </c>
      <c r="G4" t="b">
        <v>1</v>
      </c>
      <c r="H4" t="b">
        <v>1</v>
      </c>
      <c r="I4" t="b">
        <v>1</v>
      </c>
      <c r="J4" t="b">
        <v>1</v>
      </c>
      <c r="L4">
        <v>-1</v>
      </c>
      <c r="M4">
        <v>208.34</v>
      </c>
      <c r="N4" t="s">
        <v>514</v>
      </c>
      <c r="O4" t="s">
        <v>514</v>
      </c>
      <c r="P4" t="s">
        <v>514</v>
      </c>
    </row>
    <row r="5" spans="1:16" x14ac:dyDescent="0.25">
      <c r="A5">
        <v>21</v>
      </c>
      <c r="B5">
        <v>20</v>
      </c>
      <c r="C5">
        <v>3</v>
      </c>
      <c r="D5" s="4" t="s">
        <v>8</v>
      </c>
      <c r="E5" s="4" t="s">
        <v>339</v>
      </c>
      <c r="F5">
        <v>1</v>
      </c>
      <c r="G5" t="b">
        <v>1</v>
      </c>
      <c r="H5" t="b">
        <v>1</v>
      </c>
      <c r="I5" t="b">
        <v>1</v>
      </c>
      <c r="J5" t="b">
        <v>1</v>
      </c>
      <c r="L5">
        <v>-1</v>
      </c>
      <c r="M5">
        <v>214.57</v>
      </c>
      <c r="N5" t="s">
        <v>514</v>
      </c>
      <c r="O5" t="s">
        <v>514</v>
      </c>
      <c r="P5" t="s">
        <v>514</v>
      </c>
    </row>
    <row r="6" spans="1:16" x14ac:dyDescent="0.25">
      <c r="A6">
        <v>22</v>
      </c>
      <c r="B6">
        <v>21</v>
      </c>
      <c r="C6">
        <v>3</v>
      </c>
      <c r="D6" s="4" t="s">
        <v>8</v>
      </c>
      <c r="E6" s="4" t="s">
        <v>341</v>
      </c>
      <c r="F6">
        <v>1</v>
      </c>
      <c r="G6" t="b">
        <v>1</v>
      </c>
      <c r="H6" t="b">
        <v>1</v>
      </c>
      <c r="I6" t="b">
        <v>1</v>
      </c>
      <c r="J6" t="b">
        <v>1</v>
      </c>
      <c r="L6">
        <v>-1</v>
      </c>
      <c r="M6">
        <v>267.07</v>
      </c>
      <c r="N6" t="s">
        <v>514</v>
      </c>
      <c r="O6" t="s">
        <v>514</v>
      </c>
      <c r="P6" t="s">
        <v>514</v>
      </c>
    </row>
    <row r="7" spans="1:16" x14ac:dyDescent="0.25">
      <c r="A7">
        <v>23</v>
      </c>
      <c r="B7">
        <v>22</v>
      </c>
      <c r="C7">
        <v>3</v>
      </c>
      <c r="D7" s="4" t="s">
        <v>8</v>
      </c>
      <c r="E7" s="4" t="s">
        <v>319</v>
      </c>
      <c r="F7">
        <v>1</v>
      </c>
      <c r="G7" t="b">
        <v>1</v>
      </c>
      <c r="H7" t="b">
        <v>1</v>
      </c>
      <c r="I7" t="b">
        <v>1</v>
      </c>
      <c r="J7" t="b">
        <v>1</v>
      </c>
      <c r="L7">
        <v>-1</v>
      </c>
      <c r="M7">
        <v>143.38</v>
      </c>
      <c r="N7" t="s">
        <v>514</v>
      </c>
      <c r="O7" t="s">
        <v>514</v>
      </c>
      <c r="P7" t="s">
        <v>514</v>
      </c>
    </row>
    <row r="8" spans="1:16" x14ac:dyDescent="0.25">
      <c r="A8">
        <v>24</v>
      </c>
      <c r="B8">
        <v>23</v>
      </c>
      <c r="C8">
        <v>3</v>
      </c>
      <c r="D8" s="4" t="s">
        <v>8</v>
      </c>
      <c r="E8" s="4" t="s">
        <v>319</v>
      </c>
      <c r="F8">
        <v>1</v>
      </c>
      <c r="G8" t="b">
        <v>1</v>
      </c>
      <c r="H8" t="b">
        <v>1</v>
      </c>
      <c r="I8" t="b">
        <v>1</v>
      </c>
      <c r="J8" t="b">
        <v>1</v>
      </c>
      <c r="L8">
        <v>-1</v>
      </c>
      <c r="M8">
        <v>143.38</v>
      </c>
      <c r="N8" t="s">
        <v>514</v>
      </c>
      <c r="O8" t="s">
        <v>514</v>
      </c>
      <c r="P8" t="s">
        <v>514</v>
      </c>
    </row>
    <row r="9" spans="1:16" x14ac:dyDescent="0.25">
      <c r="A9">
        <v>25</v>
      </c>
      <c r="B9">
        <v>24</v>
      </c>
      <c r="C9">
        <v>3</v>
      </c>
      <c r="D9" s="4" t="s">
        <v>8</v>
      </c>
      <c r="E9" s="4" t="s">
        <v>319</v>
      </c>
      <c r="F9">
        <v>1</v>
      </c>
      <c r="G9" t="b">
        <v>1</v>
      </c>
      <c r="H9" t="b">
        <v>1</v>
      </c>
      <c r="I9" t="b">
        <v>1</v>
      </c>
      <c r="J9" t="b">
        <v>1</v>
      </c>
      <c r="L9">
        <v>-1</v>
      </c>
      <c r="M9">
        <v>132.88</v>
      </c>
      <c r="N9" t="s">
        <v>514</v>
      </c>
      <c r="O9" t="s">
        <v>514</v>
      </c>
      <c r="P9" t="s">
        <v>514</v>
      </c>
    </row>
    <row r="10" spans="1:16" x14ac:dyDescent="0.25">
      <c r="A10">
        <v>26</v>
      </c>
      <c r="B10">
        <v>25</v>
      </c>
      <c r="C10">
        <v>3</v>
      </c>
      <c r="D10" s="4" t="s">
        <v>8</v>
      </c>
      <c r="E10" s="4" t="s">
        <v>315</v>
      </c>
      <c r="F10">
        <v>1</v>
      </c>
      <c r="G10" t="b">
        <v>1</v>
      </c>
      <c r="H10" t="b">
        <v>1</v>
      </c>
      <c r="I10" t="b">
        <v>1</v>
      </c>
      <c r="J10" t="b">
        <v>1</v>
      </c>
      <c r="L10">
        <v>-1</v>
      </c>
      <c r="M10">
        <v>167.98</v>
      </c>
      <c r="N10" t="s">
        <v>514</v>
      </c>
      <c r="O10" t="s">
        <v>514</v>
      </c>
      <c r="P10" t="s">
        <v>514</v>
      </c>
    </row>
    <row r="11" spans="1:16" x14ac:dyDescent="0.25">
      <c r="A11">
        <v>27</v>
      </c>
      <c r="B11">
        <v>26</v>
      </c>
      <c r="C11">
        <v>3</v>
      </c>
      <c r="D11" s="4" t="s">
        <v>8</v>
      </c>
      <c r="E11" s="4" t="s">
        <v>315</v>
      </c>
      <c r="F11">
        <v>1</v>
      </c>
      <c r="G11" t="b">
        <v>1</v>
      </c>
      <c r="H11" t="b">
        <v>1</v>
      </c>
      <c r="I11" t="b">
        <v>1</v>
      </c>
      <c r="J11" t="b">
        <v>1</v>
      </c>
      <c r="L11">
        <v>-1</v>
      </c>
      <c r="M11">
        <v>152.88999999999999</v>
      </c>
      <c r="N11" t="s">
        <v>514</v>
      </c>
      <c r="O11" t="s">
        <v>514</v>
      </c>
      <c r="P11" t="s">
        <v>514</v>
      </c>
    </row>
    <row r="12" spans="1:16" x14ac:dyDescent="0.25">
      <c r="A12">
        <v>28</v>
      </c>
      <c r="B12">
        <v>27</v>
      </c>
      <c r="C12">
        <v>3</v>
      </c>
      <c r="D12" s="4" t="e">
        <v>#VALUE!</v>
      </c>
      <c r="E12" s="4" t="e">
        <v>#VALUE!</v>
      </c>
      <c r="F12">
        <v>2</v>
      </c>
      <c r="G12" t="b">
        <v>1</v>
      </c>
      <c r="H12" t="b">
        <v>1</v>
      </c>
      <c r="I12" t="b">
        <v>1</v>
      </c>
      <c r="J12" t="b">
        <v>1</v>
      </c>
      <c r="L12">
        <v>-1</v>
      </c>
      <c r="M12" t="e">
        <v>#VALUE!</v>
      </c>
      <c r="N12" t="e">
        <v>#VALUE!</v>
      </c>
      <c r="O12" t="e">
        <v>#VALUE!</v>
      </c>
      <c r="P12" t="e">
        <v>#VALUE!</v>
      </c>
    </row>
    <row r="13" spans="1:16" x14ac:dyDescent="0.25">
      <c r="A13">
        <v>29</v>
      </c>
      <c r="B13">
        <v>28</v>
      </c>
      <c r="C13">
        <v>3</v>
      </c>
      <c r="D13" s="4" t="e">
        <v>#VALUE!</v>
      </c>
      <c r="E13" s="4" t="e">
        <v>#VALUE!</v>
      </c>
      <c r="F13">
        <v>2</v>
      </c>
      <c r="G13" t="b">
        <v>1</v>
      </c>
      <c r="H13" t="b">
        <v>1</v>
      </c>
      <c r="I13" t="b">
        <v>1</v>
      </c>
      <c r="J13" t="b">
        <v>1</v>
      </c>
      <c r="L13">
        <v>-1</v>
      </c>
      <c r="M13" t="e">
        <v>#VALUE!</v>
      </c>
      <c r="N13" t="e">
        <v>#VALUE!</v>
      </c>
      <c r="O13" t="e">
        <v>#VALUE!</v>
      </c>
      <c r="P13" t="e">
        <v>#VALUE!</v>
      </c>
    </row>
    <row r="14" spans="1:16" x14ac:dyDescent="0.25">
      <c r="A14">
        <v>30</v>
      </c>
      <c r="B14">
        <v>29</v>
      </c>
      <c r="C14">
        <v>3</v>
      </c>
      <c r="D14" s="4">
        <v>0</v>
      </c>
      <c r="E14" s="4">
        <v>0</v>
      </c>
      <c r="F14">
        <v>0</v>
      </c>
      <c r="G14" t="b">
        <v>1</v>
      </c>
      <c r="H14" t="b">
        <v>1</v>
      </c>
      <c r="I14" t="b">
        <v>1</v>
      </c>
      <c r="J14" t="b">
        <v>1</v>
      </c>
      <c r="L14">
        <v>-1</v>
      </c>
      <c r="M14">
        <v>0</v>
      </c>
      <c r="N14">
        <v>0</v>
      </c>
      <c r="O14">
        <v>0</v>
      </c>
      <c r="P14">
        <v>0</v>
      </c>
    </row>
    <row r="15" spans="1:16" x14ac:dyDescent="0.25">
      <c r="A15">
        <v>31</v>
      </c>
      <c r="B15">
        <v>30</v>
      </c>
      <c r="C15">
        <v>3</v>
      </c>
      <c r="D15" s="4">
        <v>0</v>
      </c>
      <c r="E15" s="4">
        <v>0</v>
      </c>
      <c r="F15">
        <v>0</v>
      </c>
      <c r="G15" t="b">
        <v>1</v>
      </c>
      <c r="H15" t="b">
        <v>1</v>
      </c>
      <c r="I15" t="b">
        <v>1</v>
      </c>
      <c r="J15" t="b">
        <v>1</v>
      </c>
      <c r="L15">
        <v>-1</v>
      </c>
      <c r="M15">
        <v>0</v>
      </c>
      <c r="N15">
        <v>0</v>
      </c>
      <c r="O15">
        <v>0</v>
      </c>
      <c r="P15">
        <v>0</v>
      </c>
    </row>
    <row r="16" spans="1:16" x14ac:dyDescent="0.25">
      <c r="A16">
        <v>32</v>
      </c>
      <c r="B16">
        <v>31</v>
      </c>
      <c r="C16">
        <v>3</v>
      </c>
      <c r="D16" s="4">
        <v>0</v>
      </c>
      <c r="E16" s="4">
        <v>0</v>
      </c>
      <c r="F16">
        <v>0</v>
      </c>
      <c r="G16" t="b">
        <v>1</v>
      </c>
      <c r="H16" t="b">
        <v>1</v>
      </c>
      <c r="I16" t="b">
        <v>1</v>
      </c>
      <c r="J16" t="b">
        <v>1</v>
      </c>
      <c r="L16">
        <v>-1</v>
      </c>
      <c r="M16">
        <v>0</v>
      </c>
      <c r="N16">
        <v>0</v>
      </c>
      <c r="O16">
        <v>0</v>
      </c>
      <c r="P16">
        <v>0</v>
      </c>
    </row>
    <row r="17" spans="1:16" x14ac:dyDescent="0.25">
      <c r="A17">
        <v>33</v>
      </c>
      <c r="B17">
        <v>32</v>
      </c>
      <c r="C17">
        <v>3</v>
      </c>
      <c r="D17" s="4">
        <v>0</v>
      </c>
      <c r="E17" s="4">
        <v>0</v>
      </c>
      <c r="F17">
        <v>0</v>
      </c>
      <c r="G17" t="b">
        <v>1</v>
      </c>
      <c r="H17" t="b">
        <v>1</v>
      </c>
      <c r="I17" t="b">
        <v>1</v>
      </c>
      <c r="J17" t="b">
        <v>1</v>
      </c>
      <c r="L17">
        <v>-1</v>
      </c>
      <c r="M17">
        <v>0</v>
      </c>
      <c r="N17">
        <v>0</v>
      </c>
      <c r="O17">
        <v>0</v>
      </c>
      <c r="P17">
        <v>0</v>
      </c>
    </row>
    <row r="18" spans="1:16" x14ac:dyDescent="0.25">
      <c r="A18">
        <v>34</v>
      </c>
      <c r="B18">
        <v>33</v>
      </c>
      <c r="C18">
        <v>3</v>
      </c>
      <c r="D18" s="4">
        <v>0</v>
      </c>
      <c r="E18" s="4">
        <v>0</v>
      </c>
      <c r="F18">
        <v>0</v>
      </c>
      <c r="G18" t="b">
        <v>1</v>
      </c>
      <c r="H18" t="b">
        <v>1</v>
      </c>
      <c r="I18" t="b">
        <v>1</v>
      </c>
      <c r="J18" t="b">
        <v>1</v>
      </c>
      <c r="L18">
        <v>-1</v>
      </c>
      <c r="M18">
        <v>0</v>
      </c>
      <c r="N18">
        <v>0</v>
      </c>
      <c r="O18">
        <v>0</v>
      </c>
      <c r="P18">
        <v>0</v>
      </c>
    </row>
    <row r="19" spans="1:16" x14ac:dyDescent="0.25">
      <c r="A19">
        <v>35</v>
      </c>
      <c r="B19">
        <v>34</v>
      </c>
      <c r="C19">
        <v>3</v>
      </c>
      <c r="D19" s="4">
        <v>0</v>
      </c>
      <c r="E19" s="4">
        <v>0</v>
      </c>
      <c r="F19">
        <v>0</v>
      </c>
      <c r="G19" t="b">
        <v>1</v>
      </c>
      <c r="H19" t="b">
        <v>1</v>
      </c>
      <c r="I19" t="b">
        <v>1</v>
      </c>
      <c r="J19" t="b">
        <v>1</v>
      </c>
      <c r="L19">
        <v>-1</v>
      </c>
      <c r="M19">
        <v>0</v>
      </c>
      <c r="N19">
        <v>0</v>
      </c>
      <c r="O19">
        <v>0</v>
      </c>
      <c r="P19">
        <v>0</v>
      </c>
    </row>
    <row r="20" spans="1:16" x14ac:dyDescent="0.25">
      <c r="A20">
        <v>36</v>
      </c>
      <c r="B20">
        <v>35</v>
      </c>
      <c r="C20">
        <v>3</v>
      </c>
      <c r="D20" s="4">
        <v>0</v>
      </c>
      <c r="E20" s="4">
        <v>0</v>
      </c>
      <c r="F20">
        <v>0</v>
      </c>
      <c r="G20" t="b">
        <v>1</v>
      </c>
      <c r="H20" t="b">
        <v>1</v>
      </c>
      <c r="I20" t="b">
        <v>1</v>
      </c>
      <c r="J20" t="b">
        <v>1</v>
      </c>
      <c r="L20">
        <v>-1</v>
      </c>
      <c r="M20">
        <v>0</v>
      </c>
      <c r="N20">
        <v>0</v>
      </c>
      <c r="O20">
        <v>0</v>
      </c>
      <c r="P20">
        <v>0</v>
      </c>
    </row>
    <row r="21" spans="1:16" x14ac:dyDescent="0.25">
      <c r="A21">
        <v>37</v>
      </c>
      <c r="B21">
        <v>36</v>
      </c>
      <c r="C21">
        <v>3</v>
      </c>
      <c r="D21" s="4">
        <v>0</v>
      </c>
      <c r="E21" s="4">
        <v>0</v>
      </c>
      <c r="F21">
        <v>0</v>
      </c>
      <c r="G21" t="b">
        <v>1</v>
      </c>
      <c r="H21" t="b">
        <v>1</v>
      </c>
      <c r="I21" t="b">
        <v>1</v>
      </c>
      <c r="J21" t="b">
        <v>1</v>
      </c>
      <c r="L21">
        <v>-1</v>
      </c>
      <c r="M21">
        <v>0</v>
      </c>
      <c r="N21">
        <v>0</v>
      </c>
      <c r="O21">
        <v>0</v>
      </c>
      <c r="P21">
        <v>0</v>
      </c>
    </row>
    <row r="22" spans="1:16" x14ac:dyDescent="0.25">
      <c r="A22">
        <v>38</v>
      </c>
      <c r="B22">
        <v>37</v>
      </c>
      <c r="C22">
        <v>3</v>
      </c>
      <c r="D22" s="4">
        <v>0</v>
      </c>
      <c r="E22" s="4">
        <v>0</v>
      </c>
      <c r="F22">
        <v>0</v>
      </c>
      <c r="G22" t="b">
        <v>1</v>
      </c>
      <c r="H22" t="b">
        <v>1</v>
      </c>
      <c r="I22" t="b">
        <v>1</v>
      </c>
      <c r="J22" t="b">
        <v>1</v>
      </c>
      <c r="L22">
        <v>-1</v>
      </c>
      <c r="M22">
        <v>0</v>
      </c>
      <c r="N22">
        <v>0</v>
      </c>
      <c r="O22">
        <v>0</v>
      </c>
      <c r="P22">
        <v>0</v>
      </c>
    </row>
    <row r="23" spans="1:16" x14ac:dyDescent="0.25">
      <c r="A23">
        <v>39</v>
      </c>
      <c r="B23">
        <v>38</v>
      </c>
      <c r="C23">
        <v>3</v>
      </c>
      <c r="D23" s="4">
        <v>0</v>
      </c>
      <c r="E23" s="4">
        <v>0</v>
      </c>
      <c r="F23">
        <v>0</v>
      </c>
      <c r="G23" t="b">
        <v>1</v>
      </c>
      <c r="H23" t="b">
        <v>1</v>
      </c>
      <c r="I23" t="b">
        <v>1</v>
      </c>
      <c r="J23" t="b">
        <v>1</v>
      </c>
      <c r="L23">
        <v>-1</v>
      </c>
      <c r="M23">
        <v>0</v>
      </c>
      <c r="N23">
        <v>0</v>
      </c>
      <c r="O23">
        <v>0</v>
      </c>
      <c r="P23">
        <v>0</v>
      </c>
    </row>
    <row r="24" spans="1:16" x14ac:dyDescent="0.25">
      <c r="A24">
        <v>40</v>
      </c>
      <c r="B24">
        <v>39</v>
      </c>
      <c r="C24">
        <v>3</v>
      </c>
      <c r="D24" s="4">
        <v>0</v>
      </c>
      <c r="E24" s="4">
        <v>0</v>
      </c>
      <c r="F24">
        <v>0</v>
      </c>
      <c r="G24" t="b">
        <v>1</v>
      </c>
      <c r="H24" t="b">
        <v>1</v>
      </c>
      <c r="I24" t="b">
        <v>1</v>
      </c>
      <c r="J24" t="b">
        <v>1</v>
      </c>
      <c r="L24">
        <v>-1</v>
      </c>
      <c r="M24">
        <v>0</v>
      </c>
      <c r="N24">
        <v>0</v>
      </c>
      <c r="O24">
        <v>0</v>
      </c>
      <c r="P24">
        <v>0</v>
      </c>
    </row>
    <row r="25" spans="1:16" x14ac:dyDescent="0.25">
      <c r="A25">
        <v>41</v>
      </c>
      <c r="B25">
        <v>40</v>
      </c>
      <c r="C25">
        <v>3</v>
      </c>
      <c r="D25" s="4">
        <v>0</v>
      </c>
      <c r="E25" s="4">
        <v>0</v>
      </c>
      <c r="F25">
        <v>0</v>
      </c>
      <c r="G25" t="b">
        <v>1</v>
      </c>
      <c r="H25" t="b">
        <v>1</v>
      </c>
      <c r="I25" t="b">
        <v>1</v>
      </c>
      <c r="J25" t="b">
        <v>1</v>
      </c>
      <c r="L25">
        <v>-1</v>
      </c>
      <c r="M25">
        <v>0</v>
      </c>
      <c r="N25">
        <v>0</v>
      </c>
      <c r="O25">
        <v>0</v>
      </c>
      <c r="P25">
        <v>0</v>
      </c>
    </row>
    <row r="26" spans="1:16" x14ac:dyDescent="0.25">
      <c r="A26">
        <v>42</v>
      </c>
      <c r="B26">
        <v>41</v>
      </c>
      <c r="C26">
        <v>3</v>
      </c>
      <c r="D26" s="4">
        <v>0</v>
      </c>
      <c r="E26" s="4">
        <v>0</v>
      </c>
      <c r="F26">
        <v>0</v>
      </c>
      <c r="G26" t="b">
        <v>1</v>
      </c>
      <c r="H26" t="b">
        <v>1</v>
      </c>
      <c r="I26" t="b">
        <v>1</v>
      </c>
      <c r="J26" t="b">
        <v>1</v>
      </c>
      <c r="L26">
        <v>-1</v>
      </c>
      <c r="M26">
        <v>0</v>
      </c>
      <c r="N26">
        <v>0</v>
      </c>
      <c r="O26">
        <v>0</v>
      </c>
      <c r="P26">
        <v>0</v>
      </c>
    </row>
    <row r="27" spans="1:16" x14ac:dyDescent="0.25">
      <c r="A27">
        <v>43</v>
      </c>
      <c r="B27">
        <v>42</v>
      </c>
      <c r="C27">
        <v>3</v>
      </c>
      <c r="D27" s="4">
        <v>0</v>
      </c>
      <c r="E27" s="4">
        <v>0</v>
      </c>
      <c r="F27">
        <v>0</v>
      </c>
      <c r="G27" t="b">
        <v>1</v>
      </c>
      <c r="H27" t="b">
        <v>1</v>
      </c>
      <c r="I27" t="b">
        <v>1</v>
      </c>
      <c r="J27" t="b">
        <v>1</v>
      </c>
      <c r="L27">
        <v>-1</v>
      </c>
      <c r="M27">
        <v>0</v>
      </c>
      <c r="N27">
        <v>0</v>
      </c>
      <c r="O27">
        <v>0</v>
      </c>
      <c r="P27">
        <v>0</v>
      </c>
    </row>
    <row r="28" spans="1:16" x14ac:dyDescent="0.25">
      <c r="A28">
        <v>44</v>
      </c>
      <c r="B28">
        <v>43</v>
      </c>
      <c r="C28">
        <v>3</v>
      </c>
      <c r="D28" s="4">
        <v>0</v>
      </c>
      <c r="E28" s="4">
        <v>0</v>
      </c>
      <c r="F28">
        <v>0</v>
      </c>
      <c r="G28" t="b">
        <v>1</v>
      </c>
      <c r="H28" t="b">
        <v>1</v>
      </c>
      <c r="I28" t="b">
        <v>1</v>
      </c>
      <c r="J28" t="b">
        <v>1</v>
      </c>
      <c r="L28">
        <v>-1</v>
      </c>
      <c r="M28">
        <v>0</v>
      </c>
      <c r="N28">
        <v>0</v>
      </c>
      <c r="O28">
        <v>0</v>
      </c>
      <c r="P28">
        <v>0</v>
      </c>
    </row>
    <row r="29" spans="1:16" x14ac:dyDescent="0.25">
      <c r="A29">
        <v>45</v>
      </c>
      <c r="B29">
        <v>44</v>
      </c>
      <c r="C29">
        <v>3</v>
      </c>
      <c r="D29" s="4">
        <v>0</v>
      </c>
      <c r="E29" s="4">
        <v>0</v>
      </c>
      <c r="F29">
        <v>0</v>
      </c>
      <c r="G29" t="b">
        <v>1</v>
      </c>
      <c r="H29" t="b">
        <v>1</v>
      </c>
      <c r="I29" t="b">
        <v>1</v>
      </c>
      <c r="J29" t="b">
        <v>1</v>
      </c>
      <c r="L29">
        <v>-1</v>
      </c>
      <c r="M29">
        <v>0</v>
      </c>
      <c r="N29">
        <v>0</v>
      </c>
      <c r="O29">
        <v>0</v>
      </c>
      <c r="P29">
        <v>0</v>
      </c>
    </row>
    <row r="30" spans="1:16" x14ac:dyDescent="0.25">
      <c r="A30">
        <v>46</v>
      </c>
      <c r="B30">
        <v>45</v>
      </c>
      <c r="C30">
        <v>3</v>
      </c>
      <c r="D30" s="4">
        <v>0</v>
      </c>
      <c r="E30" s="4">
        <v>0</v>
      </c>
      <c r="F30">
        <v>0</v>
      </c>
      <c r="G30" t="b">
        <v>1</v>
      </c>
      <c r="H30" t="b">
        <v>1</v>
      </c>
      <c r="I30" t="b">
        <v>1</v>
      </c>
      <c r="J30" t="b">
        <v>1</v>
      </c>
      <c r="L30">
        <v>-1</v>
      </c>
      <c r="M30">
        <v>0</v>
      </c>
      <c r="N30">
        <v>0</v>
      </c>
      <c r="O30">
        <v>0</v>
      </c>
      <c r="P30">
        <v>0</v>
      </c>
    </row>
    <row r="31" spans="1:16" x14ac:dyDescent="0.25">
      <c r="A31">
        <v>47</v>
      </c>
      <c r="B31">
        <v>46</v>
      </c>
      <c r="C31">
        <v>3</v>
      </c>
      <c r="D31" s="4">
        <v>0</v>
      </c>
      <c r="E31" s="4">
        <v>0</v>
      </c>
      <c r="F31">
        <v>0</v>
      </c>
      <c r="G31" t="b">
        <v>1</v>
      </c>
      <c r="H31" t="b">
        <v>1</v>
      </c>
      <c r="I31" t="b">
        <v>1</v>
      </c>
      <c r="J31" t="b">
        <v>1</v>
      </c>
      <c r="L31">
        <v>-1</v>
      </c>
      <c r="M31">
        <v>0</v>
      </c>
      <c r="N31">
        <v>0</v>
      </c>
      <c r="O31">
        <v>0</v>
      </c>
      <c r="P31">
        <v>0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F17"/>
  <sheetViews>
    <sheetView tabSelected="1" workbookViewId="0">
      <selection activeCell="M19" sqref="M19"/>
    </sheetView>
  </sheetViews>
  <sheetFormatPr defaultRowHeight="15" x14ac:dyDescent="0.25"/>
  <cols>
    <col min="1" max="1" width="58.85546875" customWidth="1"/>
    <col min="2" max="2" width="17.85546875" hidden="1" customWidth="1"/>
    <col min="3" max="3" width="19.42578125" hidden="1" customWidth="1"/>
    <col min="4" max="4" width="16.140625" hidden="1" customWidth="1"/>
    <col min="5" max="6" width="9.140625" hidden="1" customWidth="1"/>
  </cols>
  <sheetData>
    <row r="1" spans="1:6" x14ac:dyDescent="0.25">
      <c r="A1" s="5" t="s">
        <v>503</v>
      </c>
      <c r="B1" t="s">
        <v>474</v>
      </c>
      <c r="C1" t="s">
        <v>0</v>
      </c>
      <c r="D1" t="s">
        <v>475</v>
      </c>
      <c r="E1" t="s">
        <v>476</v>
      </c>
      <c r="F1" t="s">
        <v>504</v>
      </c>
    </row>
    <row r="2" spans="1:6" ht="15.75" x14ac:dyDescent="0.25">
      <c r="A2" s="6" t="s">
        <v>507</v>
      </c>
      <c r="B2" t="str" cm="1">
        <f t="array" ref="B2">[1]!RefineMi(A2)</f>
        <v>HAT1N920</v>
      </c>
      <c r="C2" t="str">
        <f>_xlfn.XLOOKUP(B2,Path!J:J,Path!I:I)</f>
        <v>HA-300V(MI)</v>
      </c>
      <c r="D2">
        <f>IF(E2=2,
ROUNDUP(SUBSTITUTE(MID(A2,SEARCH("/",A2,4)+1,SEARCH("/",A2,SEARCH("/",A2,4)+1)-SEARCH("/",A2,4)-2),",",".")*3.28084,2)/2,
ROUNDUP(SUBSTITUTE(MID(A2,SEARCH("/",A2,4)+1,SEARCH("/",A2,SEARCH("/",A2,4)+1)-SEARCH("/",A2,4)-2),",",".")*3.28084,2))</f>
        <v>143.38</v>
      </c>
      <c r="E2">
        <f>IF(LEFT(A2)="B",1,2)</f>
        <v>1</v>
      </c>
      <c r="F2" t="str">
        <f>MID(A2,
FIND(CHAR(1),SUBSTITUTE(A2,"/",CHAR(1),4))+1,
FIND(CHAR(1),SUBSTITUTE(A2,"/",CHAR(1),5))-FIND(CHAR(1),SUBSTITUTE(A2,"/",CHAR(1),4))-1)</f>
        <v>220</v>
      </c>
    </row>
    <row r="3" spans="1:6" ht="15.75" x14ac:dyDescent="0.25">
      <c r="A3" s="6" t="s">
        <v>507</v>
      </c>
      <c r="B3" t="str" cm="1">
        <f t="array" ref="B3">[1]!RefineMi(A3)</f>
        <v>HAT1N920</v>
      </c>
      <c r="C3" t="str">
        <f>_xlfn.XLOOKUP(B3,Path!J:J,Path!I:I)</f>
        <v>HA-300V(MI)</v>
      </c>
      <c r="D3">
        <f t="shared" ref="D3:D13" si="0">IF(E3=2,
ROUNDUP(SUBSTITUTE(MID(A3,SEARCH("/",A3,4)+1,SEARCH("/",A3,SEARCH("/",A3,4)+1)-SEARCH("/",A3,4)-2),",",".")*3.28084,2)/2,
ROUNDUP(SUBSTITUTE(MID(A3,SEARCH("/",A3,4)+1,SEARCH("/",A3,SEARCH("/",A3,4)+1)-SEARCH("/",A3,4)-2),",",".")*3.28084,2))</f>
        <v>143.38</v>
      </c>
      <c r="E3">
        <f t="shared" ref="E3:E13" si="1">IF(LEFT(A3)="B",1,2)</f>
        <v>1</v>
      </c>
      <c r="F3" t="str">
        <f t="shared" ref="F3:F13" si="2">MID(A3,
FIND(CHAR(1),SUBSTITUTE(A3,"/",CHAR(1),4))+1,
FIND(CHAR(1),SUBSTITUTE(A3,"/",CHAR(1),5))-FIND(CHAR(1),SUBSTITUTE(A3,"/",CHAR(1),4))-1)</f>
        <v>220</v>
      </c>
    </row>
    <row r="4" spans="1:6" ht="15.75" x14ac:dyDescent="0.25">
      <c r="A4" s="6" t="s">
        <v>508</v>
      </c>
      <c r="B4" t="str" cm="1">
        <f t="array" ref="B4">[1]!RefineMi(A4)</f>
        <v>HAQ1N390</v>
      </c>
      <c r="C4" t="str">
        <f>_xlfn.XLOOKUP(B4,Path!J:J,Path!I:I)</f>
        <v>HA-300V(MI)</v>
      </c>
      <c r="D4">
        <f t="shared" si="0"/>
        <v>208.34</v>
      </c>
      <c r="E4">
        <f t="shared" si="1"/>
        <v>1</v>
      </c>
      <c r="F4" t="str">
        <f t="shared" si="2"/>
        <v>220</v>
      </c>
    </row>
    <row r="5" spans="1:6" ht="15.75" x14ac:dyDescent="0.25">
      <c r="A5" s="6" t="s">
        <v>509</v>
      </c>
      <c r="B5" t="str" cm="1">
        <f t="array" ref="B5">[1]!RefineMi(A5)</f>
        <v>HAQ1N390</v>
      </c>
      <c r="C5" t="str">
        <f>_xlfn.XLOOKUP(B5,Path!J:J,Path!I:I)</f>
        <v>HA-300V(MI)</v>
      </c>
      <c r="D5">
        <f t="shared" si="0"/>
        <v>214.57</v>
      </c>
      <c r="E5">
        <f t="shared" si="1"/>
        <v>1</v>
      </c>
      <c r="F5" t="str">
        <f t="shared" si="2"/>
        <v>220</v>
      </c>
    </row>
    <row r="6" spans="1:6" ht="15.75" x14ac:dyDescent="0.25">
      <c r="A6" s="6" t="s">
        <v>510</v>
      </c>
      <c r="B6" t="str" cm="1">
        <f t="array" ref="B6">[1]!RefineMi(A6)</f>
        <v>HAQ1N240</v>
      </c>
      <c r="C6" t="str">
        <f>_xlfn.XLOOKUP(B6,Path!J:J,Path!I:I)</f>
        <v>HA-300V(MI)</v>
      </c>
      <c r="D6">
        <f t="shared" si="0"/>
        <v>267.07</v>
      </c>
      <c r="E6">
        <f t="shared" si="1"/>
        <v>1</v>
      </c>
      <c r="F6" t="str">
        <f t="shared" si="2"/>
        <v>220</v>
      </c>
    </row>
    <row r="7" spans="1:6" ht="15.75" x14ac:dyDescent="0.25">
      <c r="A7" s="6" t="s">
        <v>507</v>
      </c>
      <c r="B7" t="str" cm="1">
        <f t="array" ref="B7">[1]!RefineMi(A7)</f>
        <v>HAT1N920</v>
      </c>
      <c r="C7" t="str">
        <f>_xlfn.XLOOKUP(B7,Path!J:J,Path!I:I)</f>
        <v>HA-300V(MI)</v>
      </c>
      <c r="D7">
        <f t="shared" si="0"/>
        <v>143.38</v>
      </c>
      <c r="E7">
        <f t="shared" si="1"/>
        <v>1</v>
      </c>
      <c r="F7" t="str">
        <f t="shared" si="2"/>
        <v>220</v>
      </c>
    </row>
    <row r="8" spans="1:6" ht="15.75" x14ac:dyDescent="0.25">
      <c r="A8" s="6" t="s">
        <v>507</v>
      </c>
      <c r="B8" t="str" cm="1">
        <f t="array" ref="B8">[1]!RefineMi(A8)</f>
        <v>HAT1N920</v>
      </c>
      <c r="C8" t="str">
        <f>_xlfn.XLOOKUP(B8,Path!J:J,Path!I:I)</f>
        <v>HA-300V(MI)</v>
      </c>
      <c r="D8">
        <f t="shared" si="0"/>
        <v>143.38</v>
      </c>
      <c r="E8">
        <f t="shared" si="1"/>
        <v>1</v>
      </c>
      <c r="F8" t="str">
        <f t="shared" si="2"/>
        <v>220</v>
      </c>
    </row>
    <row r="9" spans="1:6" ht="15.75" x14ac:dyDescent="0.25">
      <c r="A9" s="6" t="s">
        <v>511</v>
      </c>
      <c r="B9" t="str" cm="1">
        <f t="array" ref="B9">[1]!RefineMi(A9)</f>
        <v>HAT1N920</v>
      </c>
      <c r="C9" t="str">
        <f>_xlfn.XLOOKUP(B9,Path!J:J,Path!I:I)</f>
        <v>HA-300V(MI)</v>
      </c>
      <c r="D9">
        <f t="shared" si="0"/>
        <v>132.88</v>
      </c>
      <c r="E9">
        <f t="shared" si="1"/>
        <v>1</v>
      </c>
      <c r="F9" t="str">
        <f t="shared" si="2"/>
        <v>220</v>
      </c>
    </row>
    <row r="10" spans="1:6" ht="15.75" x14ac:dyDescent="0.25">
      <c r="A10" s="6" t="s">
        <v>512</v>
      </c>
      <c r="B10" t="str" cm="1">
        <f t="array" ref="B10">[1]!RefineMi(A10)</f>
        <v>HAB1N660</v>
      </c>
      <c r="C10" t="str">
        <f>_xlfn.XLOOKUP(B10,Path!J:J,Path!I:I)</f>
        <v>HA-300V(MI)</v>
      </c>
      <c r="D10">
        <f t="shared" si="0"/>
        <v>167.98</v>
      </c>
      <c r="E10">
        <f t="shared" si="1"/>
        <v>1</v>
      </c>
      <c r="F10" t="str">
        <f t="shared" si="2"/>
        <v>220</v>
      </c>
    </row>
    <row r="11" spans="1:6" ht="15.75" x14ac:dyDescent="0.25">
      <c r="A11" s="6" t="s">
        <v>513</v>
      </c>
      <c r="B11" t="str" cm="1">
        <f t="array" ref="B11">[1]!RefineMi(A11)</f>
        <v>HAB1N660</v>
      </c>
      <c r="C11" t="str">
        <f>_xlfn.XLOOKUP(B11,Path!J:J,Path!I:I)</f>
        <v>HA-300V(MI)</v>
      </c>
      <c r="D11">
        <f t="shared" si="0"/>
        <v>152.88999999999999</v>
      </c>
      <c r="E11">
        <f t="shared" si="1"/>
        <v>1</v>
      </c>
      <c r="F11" t="str">
        <f t="shared" si="2"/>
        <v>220</v>
      </c>
    </row>
    <row r="12" spans="1:6" ht="15.75" x14ac:dyDescent="0.25">
      <c r="A12" s="6"/>
      <c r="B12" t="e" cm="1">
        <f t="array" ref="B12">[1]!RefineMi(A12)</f>
        <v>#VALUE!</v>
      </c>
      <c r="C12" t="e">
        <f>_xlfn.XLOOKUP(B12,Path!J:J,Path!I:I)</f>
        <v>#VALUE!</v>
      </c>
      <c r="D12" t="e">
        <f t="shared" si="0"/>
        <v>#VALUE!</v>
      </c>
      <c r="E12">
        <f t="shared" si="1"/>
        <v>2</v>
      </c>
      <c r="F12" t="e">
        <f t="shared" si="2"/>
        <v>#VALUE!</v>
      </c>
    </row>
    <row r="13" spans="1:6" ht="15.75" x14ac:dyDescent="0.25">
      <c r="A13" s="6"/>
      <c r="B13" t="e" cm="1">
        <f t="array" ref="B13">[1]!RefineMi(A13)</f>
        <v>#VALUE!</v>
      </c>
      <c r="C13" t="e">
        <f>_xlfn.XLOOKUP(B13,Path!J:J,Path!I:I)</f>
        <v>#VALUE!</v>
      </c>
      <c r="D13" t="e">
        <f t="shared" si="0"/>
        <v>#VALUE!</v>
      </c>
      <c r="E13">
        <f t="shared" si="1"/>
        <v>2</v>
      </c>
      <c r="F13" t="e">
        <f t="shared" si="2"/>
        <v>#VALUE!</v>
      </c>
    </row>
    <row r="14" spans="1:6" ht="15.75" x14ac:dyDescent="0.25">
      <c r="A14" s="6"/>
    </row>
    <row r="17" spans="3:3" x14ac:dyDescent="0.25">
      <c r="C17" s="7"/>
    </row>
  </sheetData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shapeId="3076" r:id="rId4">
          <objectPr defaultSize="0" r:id="rId5">
            <anchor moveWithCells="1">
              <from>
                <xdr:col>10</xdr:col>
                <xdr:colOff>114300</xdr:colOff>
                <xdr:row>1</xdr:row>
                <xdr:rowOff>76200</xdr:rowOff>
              </from>
              <to>
                <xdr:col>12</xdr:col>
                <xdr:colOff>57150</xdr:colOff>
                <xdr:row>3</xdr:row>
                <xdr:rowOff>190500</xdr:rowOff>
              </to>
            </anchor>
          </objectPr>
        </oleObject>
      </mc:Choice>
      <mc:Fallback>
        <oleObject progId="Packager Shell Object" shapeId="3076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6" name="Button 1">
              <controlPr defaultSize="0" print="0" autoFill="0" autoPict="0" macro="[0]!Update">
                <anchor moveWithCells="1" sizeWithCells="1">
                  <from>
                    <xdr:col>6</xdr:col>
                    <xdr:colOff>76200</xdr:colOff>
                    <xdr:row>0</xdr:row>
                    <xdr:rowOff>114300</xdr:rowOff>
                  </from>
                  <to>
                    <xdr:col>8</xdr:col>
                    <xdr:colOff>142875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607B772-3E63-4012-A98C-AEF838B3043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Path</vt:lpstr>
      <vt:lpstr>TCPro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e1234958</dc:creator>
  <cp:lastModifiedBy>e1234958</cp:lastModifiedBy>
  <dcterms:created xsi:type="dcterms:W3CDTF">2021-09-30T06:06:03Z</dcterms:created>
  <dcterms:modified xsi:type="dcterms:W3CDTF">2022-03-01T13:15:03Z</dcterms:modified>
</cp:coreProperties>
</file>