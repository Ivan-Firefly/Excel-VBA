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1234958\Desktop\Test\"/>
    </mc:Choice>
  </mc:AlternateContent>
  <xr:revisionPtr revIDLastSave="0" documentId="13_ncr:1_{A13FBBE0-B20A-464F-BAEA-E325A264B558}" xr6:coauthVersionLast="47" xr6:coauthVersionMax="47" xr10:uidLastSave="{00000000-0000-0000-0000-000000000000}"/>
  <bookViews>
    <workbookView xWindow="-108" yWindow="-108" windowWidth="23256" windowHeight="12576" tabRatio="705" activeTab="3" xr2:uid="{00000000-000D-0000-FFFF-FFFF00000000}"/>
  </bookViews>
  <sheets>
    <sheet name="TechData" sheetId="8" r:id="rId1"/>
    <sheet name="TechPipeData" sheetId="9" r:id="rId2"/>
    <sheet name="Tree" sheetId="11" r:id="rId3"/>
    <sheet name="LINELIST" sheetId="1" r:id="rId4"/>
    <sheet name="Data Input" sheetId="6" state="hidden" r:id="rId5"/>
    <sheet name="TCPro Import" sheetId="2" r:id="rId6"/>
    <sheet name="Hide" sheetId="10" state="hidden" r:id="rId7"/>
  </sheets>
  <functionGroups builtInGroupCount="19"/>
  <externalReferences>
    <externalReference r:id="rId8"/>
  </externalReferences>
  <definedNames>
    <definedName name="_xlnm._FilterDatabase" localSheetId="3" hidden="1">LINELIST!$A$3:$BN$9</definedName>
    <definedName name="_xlnm._FilterDatabase" localSheetId="1" hidden="1">TechPipeData!#REF!</definedName>
    <definedName name="ErrorCheckIns.">LINELIST!$X$9</definedName>
    <definedName name="ErrorCheckPipe">LINELIST!$W$9</definedName>
    <definedName name="FormulaRange">LINELIST!$AW$4:$BP$7</definedName>
    <definedName name="ImportData" localSheetId="6">[1]LINELIST!$F$4:$F$31,[1]LINELIST!$H$4:$H$31,[1]LINELIST!$K$4:$K$31,[1]LINELIST!$R$4:$S$31,[1]LINELIST!$U$4:$AB$31,[1]LINELIST!$AH$4:$AL$31</definedName>
    <definedName name="ImportData" localSheetId="0">[1]LINELIST!$F$4:$F$31,[1]LINELIST!$H$4:$H$31,[1]LINELIST!$K$4:$K$31,[1]LINELIST!$R$4:$S$31,[1]LINELIST!$U$4:$AB$31,[1]LINELIST!$AH$4:$AL$31</definedName>
    <definedName name="ImportData" localSheetId="1">[1]LINELIST!$F$4:$F$31,[1]LINELIST!$H$4:$H$31,[1]LINELIST!$K$4:$K$31,[1]LINELIST!$R$4:$S$31,[1]LINELIST!$U$4:$AB$31,[1]LINELIST!$AH$4:$AL$31</definedName>
    <definedName name="ImportData">LINELIST!$F$4:$F$7,LINELIST!$H$4:$H$7,LINELIST!$K$4:$K$7,LINELIST!$R$4:$S$7,LINELIST!$U$4:$AB$7,LINELIST!$AH$4:$AL$7</definedName>
    <definedName name="ImportedRows">LINELIST!$BO$4:$BO$7</definedName>
    <definedName name="LineNumbers" localSheetId="6">[1]LINELIST!$F$4:$F$31</definedName>
    <definedName name="LineNumbers" localSheetId="0">[1]LINELIST!$F$4:$F$31</definedName>
    <definedName name="LineNumbers" localSheetId="1">[1]LINELIST!$F$4:$F$31</definedName>
    <definedName name="LineNumbers">LINELIST!$F$4:$F$7</definedName>
    <definedName name="PipeLength" localSheetId="6">[1]LINELIST!$K$4:$K$31</definedName>
    <definedName name="PipeLength" localSheetId="0">[1]LINELIST!$K$4:$K$31</definedName>
    <definedName name="PipeLength" localSheetId="1">[1]LINELIST!$K$4:$K$31</definedName>
    <definedName name="PipeLength">LINELIST!$K$4:$K$7</definedName>
    <definedName name="SectionNumbers">LINELIST!$G$4:$G$7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0" l="1"/>
  <c r="AF2" i="10"/>
  <c r="C18" i="2"/>
  <c r="B17" i="2" s="1"/>
  <c r="B3" i="11"/>
  <c r="C3" i="11" s="1"/>
  <c r="D3" i="11" s="1"/>
  <c r="F3" i="11"/>
  <c r="AE2" i="10" l="1"/>
  <c r="AD2" i="10"/>
  <c r="AC2" i="10"/>
  <c r="AB2" i="10"/>
  <c r="AA2" i="10"/>
  <c r="Z2" i="10"/>
  <c r="B2" i="11"/>
  <c r="C2" i="11" s="1"/>
  <c r="Y2" i="10"/>
  <c r="D2" i="11" l="1"/>
  <c r="E2" i="11" s="1"/>
  <c r="F2" i="11"/>
  <c r="K2" i="10" a="1"/>
  <c r="K2" i="10" s="1"/>
  <c r="J2" i="10" a="1"/>
  <c r="J2" i="10" s="1"/>
  <c r="I2" i="10" a="1"/>
  <c r="I2" i="10" s="1"/>
  <c r="G2" i="10" a="1"/>
  <c r="G2" i="10" s="1"/>
  <c r="F2" i="10" a="1"/>
  <c r="F2" i="10" s="1"/>
  <c r="E2" i="10" a="1"/>
  <c r="E2" i="10" s="1"/>
  <c r="H2" i="10" a="1"/>
  <c r="H2" i="10" s="1"/>
  <c r="E3" i="11" l="1"/>
  <c r="BV10" i="1"/>
  <c r="W2" i="10"/>
  <c r="X2" i="10" s="1"/>
  <c r="X9" i="1" a="1"/>
  <c r="X9" i="1" s="1"/>
  <c r="V2" i="10"/>
  <c r="U2" i="10"/>
  <c r="T2" i="10"/>
  <c r="S2" i="10" l="1"/>
  <c r="R2" i="10"/>
  <c r="D2" i="10" l="1"/>
  <c r="Q2" i="10"/>
  <c r="L2" i="10" l="1"/>
  <c r="O2" i="10" s="1"/>
  <c r="K9" i="1"/>
  <c r="A16" i="10"/>
  <c r="F9" i="1"/>
  <c r="B16" i="2" l="1"/>
  <c r="C16" i="2" s="1"/>
  <c r="W9" i="1"/>
  <c r="C17" i="2" l="1"/>
  <c r="M2" i="10" l="1"/>
  <c r="N2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 Stevens</author>
  </authors>
  <commentList>
    <comment ref="A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Tim Stevens:</t>
        </r>
        <r>
          <rPr>
            <sz val="9"/>
            <color indexed="81"/>
            <rFont val="Tahoma"/>
            <family val="2"/>
          </rPr>
          <t xml:space="preserve">
Area can consist of max. 30 characters.</t>
        </r>
      </text>
    </comment>
    <comment ref="E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Tim Stevens:</t>
        </r>
        <r>
          <rPr>
            <sz val="9"/>
            <color indexed="81"/>
            <rFont val="Tahoma"/>
            <family val="2"/>
          </rPr>
          <t xml:space="preserve">
T4 TSI Area can consist of max. 10 characters.</t>
        </r>
      </text>
    </comment>
    <comment ref="F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Tim Stevens:</t>
        </r>
        <r>
          <rPr>
            <sz val="9"/>
            <color indexed="81"/>
            <rFont val="Tahoma"/>
            <family val="2"/>
          </rPr>
          <t xml:space="preserve">
Line Number can consist of max. 30 characters.</t>
        </r>
      </text>
    </comment>
    <comment ref="AQ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Tim Stevens:</t>
        </r>
        <r>
          <rPr>
            <sz val="9"/>
            <color indexed="81"/>
            <rFont val="Tahoma"/>
            <family val="2"/>
          </rPr>
          <t xml:space="preserve">
TTC Drawing No. can consist of max. 50 characters.</t>
        </r>
      </text>
    </comment>
    <comment ref="AR3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Tim Stevens:</t>
        </r>
        <r>
          <rPr>
            <sz val="9"/>
            <color indexed="81"/>
            <rFont val="Tahoma"/>
            <family val="2"/>
          </rPr>
          <t xml:space="preserve">
Client Drawing No. can consist of max. 50 characters.</t>
        </r>
      </text>
    </comment>
    <comment ref="AT3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Tim Stevens:</t>
        </r>
        <r>
          <rPr>
            <sz val="9"/>
            <color indexed="81"/>
            <rFont val="Tahoma"/>
            <family val="2"/>
          </rPr>
          <t xml:space="preserve">
JB Coord. Can consist of max. 10 characters.</t>
        </r>
      </text>
    </comment>
    <comment ref="AU3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Tim Stevens:</t>
        </r>
        <r>
          <rPr>
            <sz val="9"/>
            <color indexed="81"/>
            <rFont val="Tahoma"/>
            <family val="2"/>
          </rPr>
          <t xml:space="preserve">
JB Coord. Can consist of max. 10 characters.</t>
        </r>
      </text>
    </comment>
    <comment ref="AV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Tim Stevens:</t>
        </r>
        <r>
          <rPr>
            <sz val="9"/>
            <color indexed="81"/>
            <rFont val="Tahoma"/>
            <family val="2"/>
          </rPr>
          <t xml:space="preserve">
JB Coord. Can consist of max. 10 characters.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021EBB-7F97-4531-8CCF-6DDB1041063B}" keepAlive="1" name="Query - Query1" description="Connection to the 'Query1' query in the workbook." type="5" refreshedVersion="7" saveData="1">
    <dbPr connection="Provider=Microsoft.Mashup.OleDb.1;Data Source=$Workbook$;Location=Query1;Extended Properties=&quot;&quot;" command="SELECT * FROM [Query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<sst xmlns="http://schemas.openxmlformats.org/spreadsheetml/2006/main" count="519" uniqueCount="347">
  <si>
    <t>T4 Circuit ID</t>
  </si>
  <si>
    <t>TTC Drawing No</t>
  </si>
  <si>
    <t>Client Drawing No</t>
  </si>
  <si>
    <t>JB Coord 1 X-East</t>
  </si>
  <si>
    <t>JB Coord 2 Y-North</t>
  </si>
  <si>
    <t>JB Coord 3 Z-Elevation</t>
  </si>
  <si>
    <t>Area</t>
  </si>
  <si>
    <t>Pipe Length</t>
  </si>
  <si>
    <t>Tee Qty</t>
  </si>
  <si>
    <t>Support Qty</t>
  </si>
  <si>
    <t>Valve Qty</t>
  </si>
  <si>
    <t>FILTERS</t>
  </si>
  <si>
    <t>Maintain Temp</t>
  </si>
  <si>
    <t>Max Fluid Temp.</t>
  </si>
  <si>
    <t>Insulation thickness</t>
  </si>
  <si>
    <t>Location</t>
  </si>
  <si>
    <t>T Class</t>
  </si>
  <si>
    <t>Area Class</t>
  </si>
  <si>
    <t>Environment</t>
  </si>
  <si>
    <t>Comment</t>
  </si>
  <si>
    <t>(m)</t>
  </si>
  <si>
    <t>(pc)</t>
  </si>
  <si>
    <t>(Deg. C)</t>
  </si>
  <si>
    <t>(mm)</t>
  </si>
  <si>
    <t>Line Number</t>
  </si>
  <si>
    <t>Pipe Size</t>
  </si>
  <si>
    <t>From</t>
  </si>
  <si>
    <t>To</t>
  </si>
  <si>
    <t>Pipe material</t>
  </si>
  <si>
    <t>Insulation type</t>
  </si>
  <si>
    <t>Section Number</t>
  </si>
  <si>
    <t>Gas Group</t>
  </si>
  <si>
    <t>Voltage</t>
  </si>
  <si>
    <t>Max CB Size</t>
  </si>
  <si>
    <t>Standards Body</t>
  </si>
  <si>
    <t>Windspeed</t>
  </si>
  <si>
    <t>Start-up Temp</t>
  </si>
  <si>
    <t>Safety Factor</t>
  </si>
  <si>
    <t>Min Ambient</t>
  </si>
  <si>
    <t>Max Ambient</t>
  </si>
  <si>
    <t>(m/s)</t>
  </si>
  <si>
    <t>(A)</t>
  </si>
  <si>
    <t>(V)</t>
  </si>
  <si>
    <t>IMPORTANT!</t>
  </si>
  <si>
    <t>Path to TraceCalc Pro.EXE:</t>
  </si>
  <si>
    <t>TCPro Project File:</t>
  </si>
  <si>
    <t>Beginning Excel Row number</t>
  </si>
  <si>
    <t>Flange Qty</t>
  </si>
  <si>
    <t>T4 P&amp;ID Dwg No.</t>
  </si>
  <si>
    <t>don't use
as we do nothing with it</t>
  </si>
  <si>
    <t>filled out 
autom.</t>
  </si>
  <si>
    <t>Drawing No</t>
  </si>
  <si>
    <t>T4 TSI System No.</t>
  </si>
  <si>
    <t>Max. Allowable Temp.</t>
  </si>
  <si>
    <t>Max. Operating Temp.</t>
  </si>
  <si>
    <t>Outdoor</t>
  </si>
  <si>
    <t>PVC</t>
  </si>
  <si>
    <t>CS-S40</t>
  </si>
  <si>
    <t>CPVC-PN16</t>
  </si>
  <si>
    <t>CPVC-PN25</t>
  </si>
  <si>
    <t>CPVC-S40</t>
  </si>
  <si>
    <t>CS-DN</t>
  </si>
  <si>
    <t>CS-S80</t>
  </si>
  <si>
    <t>CUPIPE</t>
  </si>
  <si>
    <t>CUTUBE</t>
  </si>
  <si>
    <t>CUTUBE-EN</t>
  </si>
  <si>
    <t>DIP</t>
  </si>
  <si>
    <t>FRP-DN</t>
  </si>
  <si>
    <t>FRP-S40</t>
  </si>
  <si>
    <t>FRP-S80</t>
  </si>
  <si>
    <t>PB-DN</t>
  </si>
  <si>
    <t>PE</t>
  </si>
  <si>
    <t>PE-DN</t>
  </si>
  <si>
    <t>PE-S40</t>
  </si>
  <si>
    <t>PE-SDR11</t>
  </si>
  <si>
    <t>PEX</t>
  </si>
  <si>
    <t>PEX-DN</t>
  </si>
  <si>
    <t>PVC-DN</t>
  </si>
  <si>
    <t>PVC-S40</t>
  </si>
  <si>
    <t>SS-DN</t>
  </si>
  <si>
    <t>SS-S10</t>
  </si>
  <si>
    <t>SS-S40</t>
  </si>
  <si>
    <t>TC-DN</t>
  </si>
  <si>
    <t>TC-IPS</t>
  </si>
  <si>
    <t>Fill In</t>
  </si>
  <si>
    <t>AEROCEL</t>
  </si>
  <si>
    <t>AES</t>
  </si>
  <si>
    <t>CG TYPE I:2015</t>
  </si>
  <si>
    <t>CG TYPE II:2015</t>
  </si>
  <si>
    <t>CS:2013</t>
  </si>
  <si>
    <t>EP:2015</t>
  </si>
  <si>
    <t>FE GR1‚3:2014</t>
  </si>
  <si>
    <t>PIC</t>
  </si>
  <si>
    <t>PIC 1‚2‚4:2013</t>
  </si>
  <si>
    <t>PIC 3‚5:2013</t>
  </si>
  <si>
    <t>RPS:2015</t>
  </si>
  <si>
    <t>RW/MF 1:2015</t>
  </si>
  <si>
    <t>RW/MF 2‚3:2015</t>
  </si>
  <si>
    <t>RW/MF 4:2015</t>
  </si>
  <si>
    <t>RW/MF 5:2015</t>
  </si>
  <si>
    <t>RW-850</t>
  </si>
  <si>
    <t>END</t>
  </si>
  <si>
    <t>Path to PTM Standard.RDB:</t>
  </si>
  <si>
    <t>Max. Exposure Temp.</t>
  </si>
  <si>
    <t>Pipe type</t>
  </si>
  <si>
    <t>Insul. Type</t>
  </si>
  <si>
    <t>Insul. Thick.</t>
  </si>
  <si>
    <t>Drain/Vent Quantity</t>
  </si>
  <si>
    <t>Vent/Drain</t>
  </si>
  <si>
    <t xml:space="preserve"> Ensure paths below are green by pressing buttons in cell C3+C4 before trying to copy data. </t>
  </si>
  <si>
    <t>Empty cells?             (should be 0)</t>
  </si>
  <si>
    <t>Use this button to insert rows.</t>
  </si>
  <si>
    <t>Use this button only to unprotect so you can delete rows. Press again to protect.</t>
  </si>
  <si>
    <t/>
  </si>
  <si>
    <t>C:\Program Files (x86)\nVent\TraceCalc Pro2</t>
  </si>
  <si>
    <t>Sensor ID</t>
  </si>
  <si>
    <t>Cliend Circuit ID</t>
  </si>
  <si>
    <t>TSI System No</t>
  </si>
  <si>
    <t>Thermostat ID</t>
  </si>
  <si>
    <t>Second Sensor ID</t>
  </si>
  <si>
    <t>EWP</t>
  </si>
  <si>
    <t>CWP</t>
  </si>
  <si>
    <t>Sensor Coord 1</t>
  </si>
  <si>
    <t>Sensor Coord 2</t>
  </si>
  <si>
    <t>Sensor Coord  3</t>
  </si>
  <si>
    <t>2d Sensor Coord 1</t>
  </si>
  <si>
    <t>2d Sensor Coord 2</t>
  </si>
  <si>
    <t>2d Sensor Coord 3</t>
  </si>
  <si>
    <t>Thermostat Coord 1</t>
  </si>
  <si>
    <t>Thermostat Coord 2</t>
  </si>
  <si>
    <t>Thermostat Coord 3</t>
  </si>
  <si>
    <t>Junction Box Id</t>
  </si>
  <si>
    <t>Zone 2</t>
  </si>
  <si>
    <t>Tyco Circuit</t>
  </si>
  <si>
    <t>Operating Load KW</t>
  </si>
  <si>
    <t>Operating Current A</t>
  </si>
  <si>
    <t>Start Up A</t>
  </si>
  <si>
    <t>Insulation Identifier</t>
  </si>
  <si>
    <t>North</t>
  </si>
  <si>
    <t>East</t>
  </si>
  <si>
    <t>Elevation</t>
  </si>
  <si>
    <t>Max Operating Temp</t>
  </si>
  <si>
    <t>Max Htr Exposure Temp</t>
  </si>
  <si>
    <t>Max Allowable Temp</t>
  </si>
  <si>
    <t>Min Ambient Temp</t>
  </si>
  <si>
    <t>Max Ambient Temp</t>
  </si>
  <si>
    <t>Max Controlled Temp</t>
  </si>
  <si>
    <t>Inner Ins Type</t>
  </si>
  <si>
    <t>WBS</t>
  </si>
  <si>
    <t>Total Pipe Length</t>
  </si>
  <si>
    <t>Total Htr Length</t>
  </si>
  <si>
    <t>Circuit Type</t>
  </si>
  <si>
    <t>Sequence Number</t>
  </si>
  <si>
    <t>Drawing Number</t>
  </si>
  <si>
    <t>Control Method</t>
  </si>
  <si>
    <t>CBBreaker</t>
  </si>
  <si>
    <t>Sensor Qty</t>
  </si>
  <si>
    <t>PID</t>
  </si>
  <si>
    <t>Power Connection Tag</t>
  </si>
  <si>
    <t>Circuit Status</t>
  </si>
  <si>
    <t>Project Length Units</t>
  </si>
  <si>
    <t>Project Temp Units</t>
  </si>
  <si>
    <t>Circuit Progress</t>
  </si>
  <si>
    <t>Local Controller</t>
  </si>
  <si>
    <t>TH X Coord</t>
  </si>
  <si>
    <t>TH Y Coord</t>
  </si>
  <si>
    <t>TH Z Coord</t>
  </si>
  <si>
    <t>Insulation Code</t>
  </si>
  <si>
    <t>_AE</t>
  </si>
  <si>
    <t>Pipe</t>
  </si>
  <si>
    <t>m</t>
  </si>
  <si>
    <t>c</t>
  </si>
  <si>
    <t>D-IP</t>
  </si>
  <si>
    <t>Project Number</t>
  </si>
  <si>
    <t>Pipe System</t>
  </si>
  <si>
    <t>Segment Type</t>
  </si>
  <si>
    <t>Pipe Type</t>
  </si>
  <si>
    <t>Pipe Dia</t>
  </si>
  <si>
    <t>Snaking Allow Percent</t>
  </si>
  <si>
    <t>Force Trace Ratio</t>
  </si>
  <si>
    <t>Trace Ratio Per Cable</t>
  </si>
  <si>
    <t>Total Trace Ratio</t>
  </si>
  <si>
    <t>Total Supports</t>
  </si>
  <si>
    <t>Total Valves</t>
  </si>
  <si>
    <t>Total Flanges</t>
  </si>
  <si>
    <t>Total Drain</t>
  </si>
  <si>
    <t>Total Vent</t>
  </si>
  <si>
    <t>RTD Tag</t>
  </si>
  <si>
    <t>RTD X Coord</t>
  </si>
  <si>
    <t>RTD Y Coord</t>
  </si>
  <si>
    <t>RTD Z Coord</t>
  </si>
  <si>
    <t>Sensor Used For Calc</t>
  </si>
  <si>
    <t xml:space="preserve">Calc Pipe Htr Length </t>
  </si>
  <si>
    <t>Calc Valve Htr Length</t>
  </si>
  <si>
    <t>Calc Support Htr Length</t>
  </si>
  <si>
    <t>Calc Flange Htr Length</t>
  </si>
  <si>
    <t>Calc Drain Vent Htr Length</t>
  </si>
  <si>
    <t>Calc Misc Heater Length</t>
  </si>
  <si>
    <t>Calc Zero Safety Factor Heat Loss</t>
  </si>
  <si>
    <t>Calc Trace Ratio</t>
  </si>
  <si>
    <t>Calc Oper Safety Factor</t>
  </si>
  <si>
    <t>Calc Support Avg Heat Loss</t>
  </si>
  <si>
    <t>Calc Valve Avg Heat Loss</t>
  </si>
  <si>
    <t>Calc Flange Avg Heat Loss</t>
  </si>
  <si>
    <t>Calc Avg Drain Heat Loss</t>
  </si>
  <si>
    <t>Calc Avg Vent Heat Loss</t>
  </si>
  <si>
    <t>File Name</t>
  </si>
  <si>
    <t>Circuit Sequence Number</t>
  </si>
  <si>
    <t>Revision</t>
  </si>
  <si>
    <t>Status</t>
  </si>
  <si>
    <t>Progress</t>
  </si>
  <si>
    <t>Primary Line</t>
  </si>
  <si>
    <t>Max Htr Exp</t>
  </si>
  <si>
    <t>Circuit Name</t>
  </si>
  <si>
    <t>Max Oper Temp</t>
  </si>
  <si>
    <t>Max Allow Temp</t>
  </si>
  <si>
    <t>Phase</t>
  </si>
  <si>
    <t>Volts</t>
  </si>
  <si>
    <t>Heater Oper Voltage</t>
  </si>
  <si>
    <t>Ckt Panelboard</t>
  </si>
  <si>
    <t>CB Number</t>
  </si>
  <si>
    <t>HTR Category</t>
  </si>
  <si>
    <t>HTR Conductors</t>
  </si>
  <si>
    <t>JB Tag</t>
  </si>
  <si>
    <t>JB X Coord</t>
  </si>
  <si>
    <t>JB Y Coord</t>
  </si>
  <si>
    <t>JB Z Coord</t>
  </si>
  <si>
    <t>Add Heater</t>
  </si>
  <si>
    <t>Heat Loss SF</t>
  </si>
  <si>
    <t>Inner Ins Thk</t>
  </si>
  <si>
    <t>Outer Ins Type</t>
  </si>
  <si>
    <t>Outer Ins Thk</t>
  </si>
  <si>
    <t>Oversize Ins</t>
  </si>
  <si>
    <t>WBS Element</t>
  </si>
  <si>
    <t>Forced Attachment</t>
  </si>
  <si>
    <t>Nominal Sheath Temperature</t>
  </si>
  <si>
    <t>TRating or AIT</t>
  </si>
  <si>
    <t>Cable Tag</t>
  </si>
  <si>
    <t>Force Heater</t>
  </si>
  <si>
    <t>Max Contact Temp</t>
  </si>
  <si>
    <t>Calculation Status</t>
  </si>
  <si>
    <t>Calculation Warning Codes</t>
  </si>
  <si>
    <t>Calc Heat Loss</t>
  </si>
  <si>
    <t>Calc Total Htr Length</t>
  </si>
  <si>
    <t>Calc Term Heater Length</t>
  </si>
  <si>
    <t>Calc Catalog Number</t>
  </si>
  <si>
    <t>Calc Power Output</t>
  </si>
  <si>
    <t>Calc Cable Set Qty</t>
  </si>
  <si>
    <t>Calc Sheath Temp</t>
  </si>
  <si>
    <t>Calc Max Circuit Length</t>
  </si>
  <si>
    <t>Calc Min Control Temp</t>
  </si>
  <si>
    <t>Calc Max Control Temp</t>
  </si>
  <si>
    <t>Calc Uncontrolled Temp</t>
  </si>
  <si>
    <t>Calc Contact Temp</t>
  </si>
  <si>
    <t>Calc Seg Oper Load</t>
  </si>
  <si>
    <t>Calc Ckt Oper Load</t>
  </si>
  <si>
    <t>Calc Ckt Oper Current</t>
  </si>
  <si>
    <t>Calc CB Current</t>
  </si>
  <si>
    <t>Calc Nom Load</t>
  </si>
  <si>
    <t>Actual Cable Part Number</t>
  </si>
  <si>
    <t>Total Drain and Vent Pipe Length</t>
  </si>
  <si>
    <t>Pipeline Reference</t>
  </si>
  <si>
    <t>Line ID</t>
  </si>
  <si>
    <t>Nominal Resistance</t>
  </si>
  <si>
    <t>Design Method</t>
  </si>
  <si>
    <t>Hot Resistance</t>
  </si>
  <si>
    <t>Parent</t>
  </si>
  <si>
    <t>False</t>
  </si>
  <si>
    <t>Single Phase ( L - N )</t>
  </si>
  <si>
    <t>Class Hazardous Zone 2</t>
  </si>
  <si>
    <t>T3</t>
  </si>
  <si>
    <t>ok</t>
  </si>
  <si>
    <t>SegmentTypeTDB</t>
  </si>
  <si>
    <t>RecordID</t>
  </si>
  <si>
    <t>Power Parallel</t>
  </si>
  <si>
    <t>Power Parallel (parent control)</t>
  </si>
  <si>
    <t>Power Splice (Parallel)</t>
  </si>
  <si>
    <t>Continuation</t>
  </si>
  <si>
    <t>Loop</t>
  </si>
  <si>
    <t>Splice End-Segment</t>
  </si>
  <si>
    <t>Splice Mid-Segment</t>
  </si>
  <si>
    <t>Tee Mid-Segment</t>
  </si>
  <si>
    <t>Tee End-Segment</t>
  </si>
  <si>
    <t>Path</t>
  </si>
  <si>
    <t>C:\Users\E1234958\AppData\Roaming\nVent\Reference Data</t>
  </si>
  <si>
    <t>LinelistParentID</t>
  </si>
  <si>
    <t>LinelistRootParentID</t>
  </si>
  <si>
    <t>Level</t>
  </si>
  <si>
    <t>VentDrain</t>
  </si>
  <si>
    <t>RowCounter</t>
  </si>
  <si>
    <t>AddHeater</t>
  </si>
  <si>
    <t>Add heater</t>
  </si>
  <si>
    <t>MiscHtr</t>
  </si>
  <si>
    <t>MiscHeater</t>
  </si>
  <si>
    <t>AE</t>
  </si>
  <si>
    <t>MW</t>
  </si>
  <si>
    <t>InsTwoLayer</t>
  </si>
  <si>
    <t>Insulation 2 type</t>
  </si>
  <si>
    <t>Insulation 2 thickness</t>
  </si>
  <si>
    <t>TwoLayerIns</t>
  </si>
  <si>
    <t>LimiterLockout</t>
  </si>
  <si>
    <t>ControlMethod</t>
  </si>
  <si>
    <t>LocalControlCategory</t>
  </si>
  <si>
    <t>LocalSensorSegmentID</t>
  </si>
  <si>
    <t>TraceRatioPerCable</t>
  </si>
  <si>
    <t>TraceRatio</t>
  </si>
  <si>
    <t>ForceTraceRatio</t>
  </si>
  <si>
    <t>Parallel Heating Cables</t>
  </si>
  <si>
    <t>ambient sensing, proportional</t>
  </si>
  <si>
    <t>_MW</t>
  </si>
  <si>
    <t>5BTV2-CT</t>
  </si>
  <si>
    <t>Stabilized</t>
  </si>
  <si>
    <t>3BTV2-CT</t>
  </si>
  <si>
    <t>Power Tee (Parallel)</t>
  </si>
  <si>
    <t>Script Tree from LYNX</t>
  </si>
  <si>
    <t>SF</t>
  </si>
  <si>
    <t>VoltageP2P</t>
  </si>
  <si>
    <t>VoltageConfig</t>
  </si>
  <si>
    <t>PBE190200_Arctic-LNG2_GBS1</t>
  </si>
  <si>
    <t>03</t>
  </si>
  <si>
    <t>IFC</t>
  </si>
  <si>
    <t>Heater Family</t>
  </si>
  <si>
    <t>Heater Type</t>
  </si>
  <si>
    <t>Heater Family Forced</t>
  </si>
  <si>
    <t>Heater Type Forced</t>
  </si>
  <si>
    <t>Num of conductors</t>
  </si>
  <si>
    <t>1-TMP-001-W-5-P-BTV-E-25</t>
  </si>
  <si>
    <t>True</t>
  </si>
  <si>
    <t>DD11-10023</t>
  </si>
  <si>
    <t>PBE190200-DD11-10023-001-03</t>
  </si>
  <si>
    <t>10023</t>
  </si>
  <si>
    <t>1-TMP-001B/179-FW-10102-A01SW0B02-01</t>
  </si>
  <si>
    <t>EHT1-10023-JB</t>
  </si>
  <si>
    <t>179-3007-01</t>
  </si>
  <si>
    <t>1-TMP-001</t>
  </si>
  <si>
    <t>EHT1-10023-A</t>
  </si>
  <si>
    <t>EHT1-10023-B</t>
  </si>
  <si>
    <t>10023_1.Parent</t>
  </si>
  <si>
    <t>10023_1.1. Continuation</t>
  </si>
  <si>
    <t>BTV</t>
  </si>
  <si>
    <t>79-FW-10102-A01SW0B02-01</t>
  </si>
  <si>
    <t>79-FW-10102-A01SW0B02-02</t>
  </si>
  <si>
    <t>79-FW-10102-A01SW0B02-03</t>
  </si>
  <si>
    <t>79-FW-10102-A01SW0B02-04</t>
  </si>
  <si>
    <t>C:\Users\e1234958\Desktop\Test\PBE190200_ArcticLNG2_new.TDB</t>
  </si>
  <si>
    <t>Pipe Length Snake</t>
  </si>
  <si>
    <t>Pipe Length VentDrain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</si>
</sst>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000"/>
    <numFmt numFmtId="165" formatCode="_(* #,##0.0_);_(* \(#,##0.0\);_(* &quot;-&quot;??_);_(@_)"/>
    <numFmt numFmtId="166" formatCode="_(* #,##0_);_(* \(#,##0\);_(* &quot;-&quot;??_);_(@_)"/>
  </numFmts>
  <fonts count="32" x14ac:knownFonts="1">
    <font>
      <sz val="10"/>
      <name val="Arial"/>
      <charset val="204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8"/>
      <color indexed="17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13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indexed="13"/>
      <name val="Arial"/>
      <family val="2"/>
    </font>
    <font>
      <b/>
      <sz val="10"/>
      <color theme="0"/>
      <name val="Arial"/>
      <family val="2"/>
    </font>
    <font>
      <b/>
      <sz val="10"/>
      <color rgb="FFE3E3E3"/>
      <name val="Arial"/>
      <family val="2"/>
    </font>
    <font>
      <sz val="10"/>
      <color rgb="FFE3E3E3"/>
      <name val="Arial"/>
      <family val="2"/>
    </font>
    <font>
      <sz val="8"/>
      <color rgb="FFE3E3E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sz val="10"/>
      <color rgb="FF0000FF"/>
      <name val="Arial"/>
      <family val="2"/>
    </font>
    <font>
      <sz val="10"/>
      <color rgb="FFFFFFFF"/>
      <name val="Arial"/>
      <family val="2"/>
    </font>
    <font>
      <sz val="10"/>
      <color theme="0" tint="-0.14999847407452621"/>
      <name val="Arial"/>
      <family val="2"/>
    </font>
    <font>
      <sz val="10"/>
      <name val="Arial"/>
      <family val="2"/>
      <charset val="238"/>
    </font>
    <font>
      <sz val="9"/>
      <color rgb="FF000000"/>
      <name val="Arial"/>
      <family val="2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name val="Calibri"/>
      <family val="2"/>
      <scheme val="minor"/>
    </font>
    <font>
      <sz val="8"/>
      <color rgb="FF000000"/>
      <name val="Arial"/>
      <family val="2"/>
      <charset val="204"/>
    </font>
    <font>
      <b/>
      <sz val="1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25" fillId="0" borderId="0"/>
    <xf numFmtId="0" fontId="29" fillId="0" borderId="0"/>
    <xf numFmtId="0" fontId="27" fillId="0" borderId="0"/>
  </cellStyleXfs>
  <cellXfs count="80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wrapText="1"/>
    </xf>
    <xf numFmtId="0" fontId="10" fillId="0" borderId="0" xfId="0" applyFont="1" applyAlignment="1">
      <alignment horizontal="center" textRotation="90"/>
    </xf>
    <xf numFmtId="0" fontId="10" fillId="3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 textRotation="90"/>
    </xf>
    <xf numFmtId="0" fontId="8" fillId="0" borderId="0" xfId="0" applyFont="1" applyAlignment="1">
      <alignment horizontal="center" textRotation="90"/>
    </xf>
    <xf numFmtId="164" fontId="10" fillId="3" borderId="2" xfId="0" applyNumberFormat="1" applyFont="1" applyFill="1" applyBorder="1" applyAlignment="1">
      <alignment horizontal="center" textRotation="90"/>
    </xf>
    <xf numFmtId="164" fontId="10" fillId="0" borderId="0" xfId="0" applyNumberFormat="1" applyFont="1" applyAlignment="1">
      <alignment horizontal="center"/>
    </xf>
    <xf numFmtId="1" fontId="6" fillId="3" borderId="1" xfId="0" applyNumberFormat="1" applyFont="1" applyFill="1" applyBorder="1" applyAlignment="1">
      <alignment horizontal="center"/>
    </xf>
    <xf numFmtId="165" fontId="10" fillId="3" borderId="2" xfId="1" applyNumberFormat="1" applyFont="1" applyFill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4" borderId="0" xfId="0" applyFill="1" applyAlignment="1">
      <alignment horizontal="center"/>
    </xf>
    <xf numFmtId="0" fontId="5" fillId="4" borderId="0" xfId="0" applyFont="1" applyFill="1" applyAlignment="1">
      <alignment horizontal="center"/>
    </xf>
    <xf numFmtId="165" fontId="0" fillId="4" borderId="0" xfId="1" applyNumberFormat="1" applyFont="1" applyFill="1" applyAlignment="1">
      <alignment horizontal="center"/>
    </xf>
    <xf numFmtId="0" fontId="11" fillId="4" borderId="0" xfId="0" applyFont="1" applyFill="1" applyAlignment="1">
      <alignment horizontal="center" wrapText="1"/>
    </xf>
    <xf numFmtId="164" fontId="1" fillId="0" borderId="0" xfId="0" applyNumberFormat="1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 textRotation="90"/>
    </xf>
    <xf numFmtId="0" fontId="13" fillId="3" borderId="3" xfId="0" applyFont="1" applyFill="1" applyBorder="1" applyAlignment="1">
      <alignment horizontal="center" textRotation="90"/>
    </xf>
    <xf numFmtId="164" fontId="13" fillId="3" borderId="3" xfId="0" applyNumberFormat="1" applyFont="1" applyFill="1" applyBorder="1" applyAlignment="1">
      <alignment horizontal="center" textRotation="90"/>
    </xf>
    <xf numFmtId="164" fontId="12" fillId="3" borderId="3" xfId="0" applyNumberFormat="1" applyFont="1" applyFill="1" applyBorder="1" applyAlignment="1">
      <alignment horizontal="center" textRotation="90"/>
    </xf>
    <xf numFmtId="0" fontId="1" fillId="0" borderId="0" xfId="0" applyFont="1"/>
    <xf numFmtId="49" fontId="1" fillId="0" borderId="0" xfId="0" applyNumberFormat="1" applyFont="1"/>
    <xf numFmtId="0" fontId="14" fillId="4" borderId="0" xfId="0" applyFont="1" applyFill="1" applyAlignment="1">
      <alignment horizontal="center" wrapText="1"/>
    </xf>
    <xf numFmtId="0" fontId="16" fillId="6" borderId="3" xfId="0" applyFont="1" applyFill="1" applyBorder="1" applyAlignment="1">
      <alignment horizontal="center" textRotation="90"/>
    </xf>
    <xf numFmtId="0" fontId="17" fillId="3" borderId="2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textRotation="90"/>
    </xf>
    <xf numFmtId="0" fontId="8" fillId="3" borderId="3" xfId="0" applyFont="1" applyFill="1" applyBorder="1" applyAlignment="1">
      <alignment horizontal="center" textRotation="90" wrapText="1"/>
    </xf>
    <xf numFmtId="0" fontId="22" fillId="4" borderId="0" xfId="0" applyFont="1" applyFill="1" applyAlignment="1">
      <alignment horizontal="center"/>
    </xf>
    <xf numFmtId="0" fontId="21" fillId="0" borderId="0" xfId="0" applyFont="1" applyAlignment="1">
      <alignment horizontal="center"/>
    </xf>
    <xf numFmtId="0" fontId="4" fillId="0" borderId="0" xfId="2" applyFont="1" applyProtection="1"/>
    <xf numFmtId="0" fontId="5" fillId="0" borderId="0" xfId="2" applyFont="1" applyProtection="1"/>
    <xf numFmtId="0" fontId="2" fillId="0" borderId="0" xfId="2" applyProtection="1"/>
    <xf numFmtId="0" fontId="1" fillId="0" borderId="0" xfId="2" applyFont="1" applyProtection="1"/>
    <xf numFmtId="0" fontId="8" fillId="0" borderId="0" xfId="2" applyFont="1" applyProtection="1"/>
    <xf numFmtId="0" fontId="2" fillId="2" borderId="0" xfId="2" applyFont="1" applyFill="1" applyAlignment="1" applyProtection="1">
      <alignment horizontal="center"/>
    </xf>
    <xf numFmtId="0" fontId="15" fillId="5" borderId="0" xfId="2" applyFont="1" applyFill="1" applyAlignment="1" applyProtection="1">
      <alignment wrapText="1"/>
      <protection locked="0"/>
    </xf>
    <xf numFmtId="0" fontId="1" fillId="0" borderId="0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Fill="1" applyAlignment="1" applyProtection="1">
      <alignment horizontal="center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0" fontId="1" fillId="0" borderId="0" xfId="0" applyNumberFormat="1" applyFont="1" applyFill="1" applyBorder="1" applyAlignment="1" applyProtection="1">
      <alignment horizontal="center"/>
      <protection locked="0"/>
    </xf>
    <xf numFmtId="0" fontId="12" fillId="3" borderId="4" xfId="0" applyFont="1" applyFill="1" applyBorder="1" applyAlignment="1">
      <alignment horizontal="center" wrapText="1"/>
    </xf>
    <xf numFmtId="0" fontId="1" fillId="0" borderId="0" xfId="0" applyNumberFormat="1" applyFont="1" applyAlignment="1" applyProtection="1">
      <alignment horizontal="center"/>
      <protection hidden="1"/>
    </xf>
    <xf numFmtId="0" fontId="2" fillId="0" borderId="0" xfId="2" applyProtection="1">
      <protection hidden="1"/>
    </xf>
    <xf numFmtId="0" fontId="21" fillId="0" borderId="0" xfId="2" applyFont="1" applyProtection="1">
      <protection hidden="1"/>
    </xf>
    <xf numFmtId="0" fontId="23" fillId="0" borderId="0" xfId="2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164" fontId="1" fillId="0" borderId="0" xfId="0" applyNumberFormat="1" applyFont="1" applyBorder="1" applyAlignment="1" applyProtection="1">
      <alignment horizontal="center"/>
      <protection hidden="1"/>
    </xf>
    <xf numFmtId="0" fontId="1" fillId="0" borderId="0" xfId="1" applyNumberFormat="1" applyFont="1" applyFill="1" applyBorder="1" applyAlignment="1" applyProtection="1">
      <alignment horizontal="center"/>
      <protection locked="0"/>
    </xf>
    <xf numFmtId="0" fontId="26" fillId="0" borderId="3" xfId="0" applyNumberFormat="1" applyFont="1" applyFill="1" applyBorder="1" applyAlignment="1" applyProtection="1">
      <alignment horizontal="center" wrapText="1"/>
      <protection locked="0"/>
    </xf>
    <xf numFmtId="0" fontId="29" fillId="0" borderId="0" xfId="4"/>
    <xf numFmtId="0" fontId="29" fillId="8" borderId="5" xfId="4" applyFill="1" applyBorder="1"/>
    <xf numFmtId="0" fontId="29" fillId="8" borderId="6" xfId="4" applyFill="1" applyBorder="1"/>
    <xf numFmtId="0" fontId="29" fillId="7" borderId="5" xfId="4" applyFill="1" applyBorder="1"/>
    <xf numFmtId="0" fontId="29" fillId="0" borderId="6" xfId="4" applyBorder="1"/>
    <xf numFmtId="0" fontId="27" fillId="0" borderId="0" xfId="5"/>
    <xf numFmtId="0" fontId="29" fillId="9" borderId="5" xfId="4" applyFill="1" applyBorder="1"/>
    <xf numFmtId="0" fontId="29" fillId="0" borderId="5" xfId="4" applyBorder="1"/>
    <xf numFmtId="0" fontId="27" fillId="8" borderId="7" xfId="5" applyFill="1" applyBorder="1"/>
    <xf numFmtId="0" fontId="1" fillId="0" borderId="0" xfId="0" applyNumberFormat="1" applyFont="1" applyBorder="1" applyAlignment="1" applyProtection="1">
      <alignment horizontal="center"/>
      <protection hidden="1"/>
    </xf>
    <xf numFmtId="0" fontId="25" fillId="0" borderId="0" xfId="3" applyFill="1"/>
    <xf numFmtId="0" fontId="1" fillId="0" borderId="0" xfId="0" applyNumberFormat="1" applyFont="1" applyFill="1" applyProtection="1">
      <protection locked="0"/>
    </xf>
    <xf numFmtId="0" fontId="24" fillId="0" borderId="0" xfId="0" applyNumberFormat="1" applyFont="1" applyFill="1" applyBorder="1" applyAlignment="1" applyProtection="1">
      <alignment horizontal="center"/>
    </xf>
    <xf numFmtId="0" fontId="12" fillId="0" borderId="0" xfId="0" applyNumberFormat="1" applyFont="1" applyFill="1" applyBorder="1" applyAlignment="1" applyProtection="1">
      <alignment horizontal="center"/>
    </xf>
    <xf numFmtId="0" fontId="13" fillId="10" borderId="3" xfId="0" applyFont="1" applyFill="1" applyBorder="1" applyAlignment="1">
      <alignment horizontal="center" textRotation="90"/>
    </xf>
    <xf numFmtId="0" fontId="12" fillId="10" borderId="3" xfId="0" applyFont="1" applyFill="1" applyBorder="1" applyAlignment="1">
      <alignment horizontal="center" textRotation="90"/>
    </xf>
    <xf numFmtId="0" fontId="0" fillId="0" borderId="0" xfId="0" applyFill="1" applyAlignment="1">
      <alignment horizontal="center"/>
    </xf>
    <xf numFmtId="0" fontId="29" fillId="0" borderId="0" xfId="4" applyFill="1"/>
    <xf numFmtId="0" fontId="27" fillId="0" borderId="0" xfId="0" applyFont="1"/>
    <xf numFmtId="0" fontId="31" fillId="11" borderId="0" xfId="0" applyFont="1" applyFill="1"/>
  </cellXfs>
  <cellStyles count="6">
    <cellStyle name="Comma" xfId="1" builtinId="3"/>
    <cellStyle name="Normal" xfId="0" builtinId="0"/>
    <cellStyle name="Normal 2" xfId="3" xr:uid="{00000000-0005-0000-0000-000003000000}"/>
    <cellStyle name="Normal 2 2" xfId="4" xr:uid="{56F67DFA-00EC-4AD8-80F1-B56EB018E31D}"/>
    <cellStyle name="Normal 3" xfId="5" xr:uid="{E601D180-A5F6-4C44-A9D5-AB64DAC5BE92}"/>
    <cellStyle name="Normal_test_1" xfId="2" xr:uid="{00000000-0005-0000-0000-000005000000}"/>
  </cellStyles>
  <dxfs count="35"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FF"/>
      <color rgb="FFE3E3E3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464820</xdr:colOff>
      <xdr:row>0</xdr:row>
      <xdr:rowOff>114300</xdr:rowOff>
    </xdr:from>
    <xdr:to>
      <xdr:col>14</xdr:col>
      <xdr:colOff>449580</xdr:colOff>
      <xdr:row>9</xdr:row>
      <xdr:rowOff>83820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45480" y="114300"/>
          <a:ext cx="4251960" cy="147828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0"/>
        <a:lstStyle/>
        <a:p>
          <a:pPr algn="ctr"/>
          <a:r>
            <a:rPr lang="en-US" sz="1400" b="0"/>
            <a:t>Double-click</a:t>
          </a:r>
          <a:r>
            <a:rPr lang="en-US" sz="1400" b="0" baseline="0"/>
            <a:t> on icon and open with Notepad.</a:t>
          </a:r>
        </a:p>
        <a:p>
          <a:pPr algn="ctr"/>
          <a:r>
            <a:rPr lang="en-US" sz="1400" b="0" baseline="0"/>
            <a:t>Save</a:t>
          </a:r>
          <a:r>
            <a:rPr lang="ru-RU" sz="1400" b="0" baseline="0"/>
            <a:t> </a:t>
          </a:r>
          <a:r>
            <a:rPr lang="en-US" sz="1400" b="0" baseline="0"/>
            <a:t>somwhere on your Desktop and load in Lynx</a:t>
          </a:r>
          <a:endParaRPr lang="en-US" sz="14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281940</xdr:colOff>
          <xdr:row>2</xdr:row>
          <xdr:rowOff>60959</xdr:rowOff>
        </xdr:from>
        <xdr:to>
          <xdr:col>7</xdr:col>
          <xdr:colOff>426720</xdr:colOff>
          <xdr:row>7</xdr:row>
          <xdr:rowOff>138792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4382BD07-6060-4A46-BF06-479041E9B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190500</xdr:rowOff>
        </xdr:from>
        <xdr:to>
          <xdr:col>2</xdr:col>
          <xdr:colOff>1211580</xdr:colOff>
          <xdr:row>0</xdr:row>
          <xdr:rowOff>518160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190500</xdr:rowOff>
        </xdr:from>
        <xdr:to>
          <xdr:col>1</xdr:col>
          <xdr:colOff>1226820</xdr:colOff>
          <xdr:row>0</xdr:row>
          <xdr:rowOff>518160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(Un)protect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285749</xdr:colOff>
      <xdr:row>7</xdr:row>
      <xdr:rowOff>45118</xdr:rowOff>
    </xdr:from>
    <xdr:to>
      <xdr:col>6</xdr:col>
      <xdr:colOff>290763</xdr:colOff>
      <xdr:row>7</xdr:row>
      <xdr:rowOff>571501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4351420" y="3268579"/>
          <a:ext cx="5014" cy="5263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0</xdr:row>
          <xdr:rowOff>190500</xdr:rowOff>
        </xdr:from>
        <xdr:to>
          <xdr:col>5</xdr:col>
          <xdr:colOff>1943100</xdr:colOff>
          <xdr:row>0</xdr:row>
          <xdr:rowOff>518160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160020</xdr:rowOff>
        </xdr:from>
        <xdr:to>
          <xdr:col>2</xdr:col>
          <xdr:colOff>15240</xdr:colOff>
          <xdr:row>14</xdr:row>
          <xdr:rowOff>0</xdr:rowOff>
        </xdr:to>
        <xdr:sp macro="" textlink="">
          <xdr:nvSpPr>
            <xdr:cNvPr id="1025" name="cmd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path to TraceCalc Pro.exe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path to PTM Standard.RDB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5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TCPro Project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7620</xdr:colOff>
          <xdr:row>10</xdr:row>
          <xdr:rowOff>60960</xdr:rowOff>
        </xdr:to>
        <xdr:sp macro="" textlink="">
          <xdr:nvSpPr>
            <xdr:cNvPr id="1035" name="Option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121920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6" name="Option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CPro%20Import%20Default%20Line%20List%2012.0%20for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dure"/>
      <sheetName val="Rev history"/>
      <sheetName val="TechData"/>
      <sheetName val="TechPipeData"/>
      <sheetName val="Hide"/>
      <sheetName val="LINELIST"/>
      <sheetName val="Data Input"/>
      <sheetName val="TCPro Import"/>
      <sheetName val="Sheet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>
        <row r="4">
          <cell r="F4" t="str">
            <v>1-TMR-004A/162-DO-10168-A01CA3B57-01</v>
          </cell>
          <cell r="H4">
            <v>100</v>
          </cell>
          <cell r="K4">
            <v>5.9</v>
          </cell>
          <cell r="R4">
            <v>5</v>
          </cell>
          <cell r="S4">
            <v>100</v>
          </cell>
          <cell r="U4">
            <v>100</v>
          </cell>
          <cell r="V4">
            <v>100</v>
          </cell>
          <cell r="W4" t="str">
            <v>CS-DN</v>
          </cell>
          <cell r="X4" t="str">
            <v>RW/MF 1:2015</v>
          </cell>
          <cell r="Y4">
            <v>20</v>
          </cell>
          <cell r="Z4" t="str">
            <v>Outdoor</v>
          </cell>
          <cell r="AA4">
            <v>-52</v>
          </cell>
          <cell r="AB4">
            <v>30</v>
          </cell>
          <cell r="AH4">
            <v>230</v>
          </cell>
          <cell r="AI4">
            <v>16</v>
          </cell>
          <cell r="AJ4">
            <v>25</v>
          </cell>
          <cell r="AK4">
            <v>-5</v>
          </cell>
          <cell r="AL4">
            <v>0.25</v>
          </cell>
        </row>
        <row r="5">
          <cell r="X5" t="str">
            <v>RW/MF 1:2015</v>
          </cell>
          <cell r="Z5" t="str">
            <v>Outdoor</v>
          </cell>
          <cell r="AA5" t="e">
            <v>#N/A</v>
          </cell>
          <cell r="AB5" t="e">
            <v>#N/A</v>
          </cell>
          <cell r="AI5">
            <v>16</v>
          </cell>
          <cell r="AK5">
            <v>-5</v>
          </cell>
          <cell r="AL5">
            <v>0.25</v>
          </cell>
        </row>
        <row r="6">
          <cell r="X6" t="str">
            <v>RW/MF 1:2015</v>
          </cell>
          <cell r="Z6" t="str">
            <v>Outdoor</v>
          </cell>
          <cell r="AA6" t="e">
            <v>#N/A</v>
          </cell>
          <cell r="AB6" t="e">
            <v>#N/A</v>
          </cell>
          <cell r="AI6">
            <v>16</v>
          </cell>
          <cell r="AK6">
            <v>-5</v>
          </cell>
          <cell r="AL6">
            <v>0.25</v>
          </cell>
        </row>
        <row r="7">
          <cell r="X7" t="str">
            <v>RW/MF 1:2015</v>
          </cell>
          <cell r="Z7" t="str">
            <v>Outdoor</v>
          </cell>
          <cell r="AA7" t="e">
            <v>#N/A</v>
          </cell>
          <cell r="AB7" t="e">
            <v>#N/A</v>
          </cell>
          <cell r="AI7">
            <v>16</v>
          </cell>
          <cell r="AK7">
            <v>-5</v>
          </cell>
          <cell r="AL7">
            <v>0.25</v>
          </cell>
        </row>
      </sheetData>
      <sheetData sheetId="6" refreshError="1"/>
      <sheetData sheetId="7" refreshError="1"/>
      <sheetData sheetId="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752BA8-4FC3-4A1A-ABE5-DE65C22F4C1C}" name="Path" displayName="Path" ref="A15:A16" totalsRowShown="0" dataDxfId="2" tableBorderDxfId="1">
  <autoFilter ref="A15:A16" xr:uid="{A6EF02E0-9E07-4AD7-8227-D8F2D9907196}"/>
  <tableColumns count="1">
    <tableColumn id="1" xr3:uid="{EA50293C-552C-4D97-92C2-E27640C258C7}" name="Path" dataDxfId="0">
      <calculatedColumnFormula>'TCPro Import'!B6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AEC16-9EEF-440D-BB9A-B39E64873DC1}">
  <sheetPr codeName="Sheet6"/>
  <dimension ref="A1:AK6"/>
  <sheetViews>
    <sheetView workbookViewId="0">
      <selection activeCell="H13" sqref="H13"/>
    </sheetView>
  </sheetViews>
  <sheetFormatPr defaultRowHeight="14.4" x14ac:dyDescent="0.3"/>
  <cols>
    <col min="1" max="16384" width="8.88671875" style="60"/>
  </cols>
  <sheetData>
    <row r="1" spans="1:37" x14ac:dyDescent="0.3">
      <c r="A1" s="60" t="s">
        <v>133</v>
      </c>
      <c r="B1" s="60" t="s">
        <v>134</v>
      </c>
      <c r="C1" s="60" t="s">
        <v>135</v>
      </c>
      <c r="D1" s="60" t="s">
        <v>136</v>
      </c>
      <c r="E1" s="60" t="s">
        <v>137</v>
      </c>
      <c r="F1" s="60" t="s">
        <v>138</v>
      </c>
      <c r="G1" s="60" t="s">
        <v>139</v>
      </c>
      <c r="H1" s="60" t="s">
        <v>140</v>
      </c>
      <c r="I1" s="60" t="s">
        <v>12</v>
      </c>
      <c r="J1" s="60" t="s">
        <v>141</v>
      </c>
      <c r="K1" s="60" t="s">
        <v>142</v>
      </c>
      <c r="L1" s="60" t="s">
        <v>143</v>
      </c>
      <c r="M1" s="60" t="s">
        <v>144</v>
      </c>
      <c r="N1" s="60" t="s">
        <v>145</v>
      </c>
      <c r="O1" s="60" t="s">
        <v>146</v>
      </c>
      <c r="P1" s="60" t="s">
        <v>147</v>
      </c>
      <c r="Q1" s="60" t="s">
        <v>148</v>
      </c>
      <c r="R1" s="60" t="s">
        <v>149</v>
      </c>
      <c r="S1" s="60" t="s">
        <v>150</v>
      </c>
      <c r="T1" s="60" t="s">
        <v>17</v>
      </c>
      <c r="U1" s="60" t="s">
        <v>151</v>
      </c>
      <c r="V1" s="60" t="s">
        <v>152</v>
      </c>
      <c r="W1" s="60" t="s">
        <v>153</v>
      </c>
      <c r="X1" s="60" t="s">
        <v>154</v>
      </c>
      <c r="Y1" s="60" t="s">
        <v>155</v>
      </c>
      <c r="Z1" s="60" t="s">
        <v>156</v>
      </c>
      <c r="AA1" s="60" t="s">
        <v>157</v>
      </c>
      <c r="AB1" s="60" t="s">
        <v>158</v>
      </c>
      <c r="AC1" s="60" t="s">
        <v>159</v>
      </c>
      <c r="AD1" s="60" t="s">
        <v>160</v>
      </c>
      <c r="AE1" s="60" t="s">
        <v>161</v>
      </c>
      <c r="AF1" s="60" t="s">
        <v>162</v>
      </c>
      <c r="AG1" s="60" t="s">
        <v>163</v>
      </c>
      <c r="AH1" s="60" t="s">
        <v>164</v>
      </c>
      <c r="AI1" s="60" t="s">
        <v>165</v>
      </c>
      <c r="AJ1" s="60" t="s">
        <v>166</v>
      </c>
      <c r="AK1" s="60" t="s">
        <v>167</v>
      </c>
    </row>
    <row r="2" spans="1:37" customFormat="1" ht="13.2" x14ac:dyDescent="0.25">
      <c r="A2">
        <v>10023</v>
      </c>
      <c r="B2">
        <v>0.34300000000000003</v>
      </c>
      <c r="C2">
        <v>1.31</v>
      </c>
      <c r="D2">
        <v>3.6150000000000002</v>
      </c>
      <c r="E2" t="s">
        <v>168</v>
      </c>
      <c r="F2">
        <v>141065.5</v>
      </c>
      <c r="G2">
        <v>111107.95</v>
      </c>
      <c r="H2">
        <v>118869.28</v>
      </c>
      <c r="I2">
        <v>5</v>
      </c>
      <c r="J2">
        <v>65</v>
      </c>
      <c r="K2">
        <v>65</v>
      </c>
      <c r="L2">
        <v>20</v>
      </c>
      <c r="M2">
        <v>-52</v>
      </c>
      <c r="N2">
        <v>30</v>
      </c>
      <c r="O2">
        <v>19</v>
      </c>
      <c r="P2" t="s">
        <v>168</v>
      </c>
      <c r="Q2" t="s">
        <v>334</v>
      </c>
      <c r="R2">
        <v>15.15</v>
      </c>
      <c r="S2">
        <v>38.700000000000003</v>
      </c>
      <c r="T2" t="s">
        <v>132</v>
      </c>
      <c r="U2" t="s">
        <v>169</v>
      </c>
      <c r="V2">
        <v>10023</v>
      </c>
      <c r="W2" t="s">
        <v>328</v>
      </c>
      <c r="X2" t="s">
        <v>308</v>
      </c>
      <c r="Z2">
        <v>0</v>
      </c>
      <c r="AA2" t="s">
        <v>333</v>
      </c>
      <c r="AB2" t="s">
        <v>332</v>
      </c>
      <c r="AC2" t="s">
        <v>320</v>
      </c>
      <c r="AD2" t="s">
        <v>170</v>
      </c>
      <c r="AE2" t="s">
        <v>171</v>
      </c>
      <c r="AF2" t="s">
        <v>172</v>
      </c>
      <c r="AH2">
        <v>0</v>
      </c>
      <c r="AI2">
        <v>0</v>
      </c>
      <c r="AJ2">
        <v>0</v>
      </c>
    </row>
    <row r="3" spans="1:37" customFormat="1" ht="13.2" x14ac:dyDescent="0.25"/>
    <row r="4" spans="1:37" customFormat="1" ht="13.2" x14ac:dyDescent="0.25"/>
    <row r="5" spans="1:37" customFormat="1" ht="13.2" x14ac:dyDescent="0.25"/>
    <row r="6" spans="1:37" customFormat="1" ht="13.2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C3AAF-4611-4846-9ECE-8DA133ECAEEA}">
  <sheetPr codeName="Sheet7"/>
  <dimension ref="A1:CZ3"/>
  <sheetViews>
    <sheetView topLeftCell="BZ1" workbookViewId="0">
      <selection activeCell="H1" sqref="H1"/>
    </sheetView>
  </sheetViews>
  <sheetFormatPr defaultRowHeight="13.2" x14ac:dyDescent="0.25"/>
  <cols>
    <col min="1" max="1" width="22.21875" customWidth="1"/>
    <col min="3" max="3" width="14.44140625" bestFit="1" customWidth="1"/>
    <col min="4" max="4" width="7.5546875" bestFit="1" customWidth="1"/>
    <col min="5" max="5" width="23.88671875" customWidth="1"/>
    <col min="6" max="6" width="12.77734375" bestFit="1" customWidth="1"/>
    <col min="7" max="7" width="10.88671875" bestFit="1" customWidth="1"/>
    <col min="8" max="8" width="13.77734375" customWidth="1"/>
    <col min="9" max="9" width="10" bestFit="1" customWidth="1"/>
    <col min="10" max="10" width="15.44140625" bestFit="1" customWidth="1"/>
    <col min="11" max="11" width="21.77734375" bestFit="1" customWidth="1"/>
    <col min="12" max="12" width="16.77734375" customWidth="1"/>
    <col min="13" max="13" width="10.88671875" bestFit="1" customWidth="1"/>
    <col min="14" max="14" width="14.109375" bestFit="1" customWidth="1"/>
    <col min="15" max="15" width="14.6640625" bestFit="1" customWidth="1"/>
    <col min="16" max="16" width="17.33203125" bestFit="1" customWidth="1"/>
    <col min="17" max="17" width="9.44140625" bestFit="1" customWidth="1"/>
    <col min="18" max="18" width="10.77734375" bestFit="1" customWidth="1"/>
    <col min="19" max="19" width="12.33203125" bestFit="1" customWidth="1"/>
    <col min="20" max="20" width="11.33203125" bestFit="1" customWidth="1"/>
    <col min="21" max="21" width="12.77734375" bestFit="1" customWidth="1"/>
    <col min="22" max="22" width="16.5546875" customWidth="1"/>
    <col min="23" max="23" width="13.44140625" bestFit="1" customWidth="1"/>
    <col min="24" max="24" width="38.5546875" bestFit="1" customWidth="1"/>
    <col min="37" max="37" width="14.77734375" bestFit="1" customWidth="1"/>
    <col min="49" max="49" width="18.88671875" bestFit="1" customWidth="1"/>
    <col min="55" max="55" width="19.21875" bestFit="1" customWidth="1"/>
    <col min="56" max="56" width="14.21875" bestFit="1" customWidth="1"/>
    <col min="70" max="70" width="11.88671875" bestFit="1" customWidth="1"/>
    <col min="75" max="75" width="13.21875" bestFit="1" customWidth="1"/>
    <col min="76" max="76" width="11.5546875" bestFit="1" customWidth="1"/>
    <col min="83" max="83" width="15.77734375" customWidth="1"/>
    <col min="102" max="102" width="13.33203125" bestFit="1" customWidth="1"/>
  </cols>
  <sheetData>
    <row r="1" spans="1:104" s="60" customFormat="1" ht="14.4" x14ac:dyDescent="0.3">
      <c r="A1" s="60" t="s">
        <v>173</v>
      </c>
      <c r="B1" s="60" t="s">
        <v>174</v>
      </c>
      <c r="C1" s="60" t="s">
        <v>160</v>
      </c>
      <c r="D1" s="60" t="s">
        <v>161</v>
      </c>
      <c r="E1" s="60" t="s">
        <v>175</v>
      </c>
      <c r="F1" s="60" t="s">
        <v>176</v>
      </c>
      <c r="G1" s="60" t="s">
        <v>177</v>
      </c>
      <c r="H1" s="60" t="s">
        <v>178</v>
      </c>
      <c r="I1" s="60" t="s">
        <v>7</v>
      </c>
      <c r="J1" s="60" t="s">
        <v>179</v>
      </c>
      <c r="K1" s="60" t="s">
        <v>180</v>
      </c>
      <c r="L1" s="60" t="s">
        <v>181</v>
      </c>
      <c r="M1" s="60" t="s">
        <v>182</v>
      </c>
      <c r="N1" s="60" t="s">
        <v>183</v>
      </c>
      <c r="O1" s="60" t="s">
        <v>184</v>
      </c>
      <c r="P1" s="60" t="s">
        <v>185</v>
      </c>
      <c r="Q1" s="60" t="s">
        <v>186</v>
      </c>
      <c r="R1" s="60" t="s">
        <v>187</v>
      </c>
      <c r="S1" s="60" t="s">
        <v>188</v>
      </c>
      <c r="T1" s="60" t="s">
        <v>189</v>
      </c>
      <c r="U1" s="60" t="s">
        <v>190</v>
      </c>
      <c r="V1" s="60" t="s">
        <v>191</v>
      </c>
      <c r="W1" s="60" t="s">
        <v>192</v>
      </c>
      <c r="X1" s="60" t="s">
        <v>193</v>
      </c>
      <c r="Y1" s="60" t="s">
        <v>194</v>
      </c>
      <c r="Z1" s="60" t="s">
        <v>195</v>
      </c>
      <c r="AA1" s="60" t="s">
        <v>196</v>
      </c>
      <c r="AB1" s="60" t="s">
        <v>197</v>
      </c>
      <c r="AC1" s="60" t="s">
        <v>198</v>
      </c>
      <c r="AD1" s="60" t="s">
        <v>199</v>
      </c>
      <c r="AE1" s="60" t="s">
        <v>200</v>
      </c>
      <c r="AF1" s="60" t="s">
        <v>201</v>
      </c>
      <c r="AG1" s="60" t="s">
        <v>202</v>
      </c>
      <c r="AH1" s="60" t="s">
        <v>203</v>
      </c>
      <c r="AI1" s="60" t="s">
        <v>204</v>
      </c>
      <c r="AJ1" s="60" t="s">
        <v>205</v>
      </c>
      <c r="AK1" s="60" t="s">
        <v>153</v>
      </c>
      <c r="AL1" s="60" t="s">
        <v>206</v>
      </c>
      <c r="AM1" s="60" t="s">
        <v>207</v>
      </c>
      <c r="AN1" s="60" t="s">
        <v>208</v>
      </c>
      <c r="AO1" s="60" t="s">
        <v>209</v>
      </c>
      <c r="AP1" s="60" t="s">
        <v>210</v>
      </c>
      <c r="AQ1" s="60" t="s">
        <v>211</v>
      </c>
      <c r="AR1" s="60" t="s">
        <v>12</v>
      </c>
      <c r="AS1" s="60" t="s">
        <v>212</v>
      </c>
      <c r="AT1" s="60" t="s">
        <v>213</v>
      </c>
      <c r="AU1" s="60" t="s">
        <v>214</v>
      </c>
      <c r="AV1" s="60" t="s">
        <v>215</v>
      </c>
      <c r="AW1" s="60" t="s">
        <v>216</v>
      </c>
      <c r="AX1" s="60" t="s">
        <v>217</v>
      </c>
      <c r="AY1" s="60" t="s">
        <v>33</v>
      </c>
      <c r="AZ1" s="60" t="s">
        <v>218</v>
      </c>
      <c r="BA1" s="60" t="s">
        <v>219</v>
      </c>
      <c r="BB1" s="60" t="s">
        <v>220</v>
      </c>
      <c r="BC1" s="60" t="s">
        <v>221</v>
      </c>
      <c r="BD1" s="60" t="s">
        <v>222</v>
      </c>
      <c r="BE1" s="60" t="s">
        <v>154</v>
      </c>
      <c r="BF1" s="60" t="s">
        <v>223</v>
      </c>
      <c r="BG1" s="60" t="s">
        <v>224</v>
      </c>
      <c r="BH1" s="60" t="s">
        <v>225</v>
      </c>
      <c r="BI1" s="60" t="s">
        <v>226</v>
      </c>
      <c r="BJ1" s="60" t="s">
        <v>157</v>
      </c>
      <c r="BK1" s="60" t="s">
        <v>227</v>
      </c>
      <c r="BL1" s="60" t="s">
        <v>228</v>
      </c>
      <c r="BM1" s="60" t="s">
        <v>147</v>
      </c>
      <c r="BN1" s="60" t="s">
        <v>229</v>
      </c>
      <c r="BO1" s="60" t="s">
        <v>230</v>
      </c>
      <c r="BP1" s="60" t="s">
        <v>231</v>
      </c>
      <c r="BQ1" s="60" t="s">
        <v>232</v>
      </c>
      <c r="BR1" s="60" t="s">
        <v>233</v>
      </c>
      <c r="BS1" s="60" t="s">
        <v>234</v>
      </c>
      <c r="BT1" s="60" t="s">
        <v>17</v>
      </c>
      <c r="BU1" s="60" t="s">
        <v>235</v>
      </c>
      <c r="BV1" s="60" t="s">
        <v>236</v>
      </c>
      <c r="BW1" s="60" t="s">
        <v>237</v>
      </c>
      <c r="BX1" s="60" t="s">
        <v>238</v>
      </c>
      <c r="BY1" s="60" t="s">
        <v>239</v>
      </c>
      <c r="BZ1" s="60" t="s">
        <v>240</v>
      </c>
      <c r="CA1" s="60" t="s">
        <v>241</v>
      </c>
      <c r="CB1" s="60" t="s">
        <v>242</v>
      </c>
      <c r="CC1" s="60" t="s">
        <v>243</v>
      </c>
      <c r="CD1" s="60" t="s">
        <v>244</v>
      </c>
      <c r="CE1" s="60" t="s">
        <v>245</v>
      </c>
      <c r="CF1" s="60" t="s">
        <v>246</v>
      </c>
      <c r="CG1" s="60" t="s">
        <v>247</v>
      </c>
      <c r="CH1" s="60" t="s">
        <v>248</v>
      </c>
      <c r="CI1" s="60" t="s">
        <v>249</v>
      </c>
      <c r="CJ1" s="60" t="s">
        <v>250</v>
      </c>
      <c r="CK1" s="60" t="s">
        <v>251</v>
      </c>
      <c r="CL1" s="60" t="s">
        <v>252</v>
      </c>
      <c r="CM1" s="60" t="s">
        <v>253</v>
      </c>
      <c r="CN1" s="60" t="s">
        <v>254</v>
      </c>
      <c r="CO1" s="60" t="s">
        <v>255</v>
      </c>
      <c r="CP1" s="60" t="s">
        <v>256</v>
      </c>
      <c r="CQ1" s="60" t="s">
        <v>257</v>
      </c>
      <c r="CR1" s="60" t="s">
        <v>258</v>
      </c>
      <c r="CS1" s="60" t="s">
        <v>259</v>
      </c>
      <c r="CT1" s="60" t="s">
        <v>260</v>
      </c>
      <c r="CU1" s="60" t="s">
        <v>261</v>
      </c>
      <c r="CV1" s="60" t="s">
        <v>262</v>
      </c>
      <c r="CW1" s="60" t="s">
        <v>263</v>
      </c>
      <c r="CX1" s="60" t="s">
        <v>264</v>
      </c>
      <c r="CY1" s="60" t="s">
        <v>167</v>
      </c>
      <c r="CZ1" s="60" t="s">
        <v>265</v>
      </c>
    </row>
    <row r="2" spans="1:104" x14ac:dyDescent="0.25">
      <c r="A2" t="s">
        <v>318</v>
      </c>
      <c r="B2" t="s">
        <v>326</v>
      </c>
      <c r="C2" t="s">
        <v>170</v>
      </c>
      <c r="D2" t="s">
        <v>171</v>
      </c>
      <c r="E2" t="s">
        <v>266</v>
      </c>
      <c r="F2" t="s">
        <v>79</v>
      </c>
      <c r="G2">
        <v>50</v>
      </c>
      <c r="H2">
        <v>1</v>
      </c>
      <c r="I2">
        <v>0.22</v>
      </c>
      <c r="J2" t="s">
        <v>327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S2">
        <v>0</v>
      </c>
      <c r="T2">
        <v>0</v>
      </c>
      <c r="U2">
        <v>0</v>
      </c>
      <c r="V2" t="s">
        <v>267</v>
      </c>
      <c r="W2">
        <v>0.22</v>
      </c>
      <c r="X2">
        <v>0</v>
      </c>
      <c r="Y2">
        <v>0</v>
      </c>
      <c r="Z2">
        <v>0</v>
      </c>
      <c r="AA2">
        <v>0</v>
      </c>
      <c r="AB2">
        <v>0</v>
      </c>
      <c r="AC2">
        <v>10.7</v>
      </c>
      <c r="AD2">
        <v>1</v>
      </c>
      <c r="AE2">
        <v>66</v>
      </c>
      <c r="AF2">
        <v>0</v>
      </c>
      <c r="AG2">
        <v>0</v>
      </c>
      <c r="AH2">
        <v>0</v>
      </c>
      <c r="AI2">
        <v>0</v>
      </c>
      <c r="AJ2">
        <v>0</v>
      </c>
      <c r="AK2" t="s">
        <v>328</v>
      </c>
      <c r="AL2" t="s">
        <v>329</v>
      </c>
      <c r="AM2" t="s">
        <v>330</v>
      </c>
      <c r="AN2" t="s">
        <v>319</v>
      </c>
      <c r="AO2" t="s">
        <v>320</v>
      </c>
      <c r="AP2" t="s">
        <v>172</v>
      </c>
      <c r="AQ2" t="s">
        <v>331</v>
      </c>
      <c r="AR2">
        <v>5</v>
      </c>
      <c r="AS2">
        <v>65</v>
      </c>
      <c r="AT2" t="s">
        <v>330</v>
      </c>
      <c r="AU2">
        <v>65</v>
      </c>
      <c r="AV2">
        <v>20</v>
      </c>
      <c r="AW2" t="s">
        <v>268</v>
      </c>
      <c r="AX2">
        <v>230</v>
      </c>
      <c r="AY2">
        <v>25</v>
      </c>
      <c r="AZ2">
        <v>230</v>
      </c>
      <c r="BC2" t="s">
        <v>307</v>
      </c>
      <c r="BD2">
        <v>0</v>
      </c>
      <c r="BE2" t="s">
        <v>308</v>
      </c>
      <c r="BF2" t="s">
        <v>332</v>
      </c>
      <c r="BG2">
        <v>111107.95</v>
      </c>
      <c r="BH2">
        <v>141065.5</v>
      </c>
      <c r="BI2">
        <v>118869.28</v>
      </c>
      <c r="BJ2" t="s">
        <v>333</v>
      </c>
      <c r="BK2">
        <v>0</v>
      </c>
      <c r="BL2">
        <v>10</v>
      </c>
      <c r="BM2" t="s">
        <v>168</v>
      </c>
      <c r="BN2">
        <v>20</v>
      </c>
      <c r="BO2" t="s">
        <v>309</v>
      </c>
      <c r="BP2">
        <v>20</v>
      </c>
      <c r="BQ2">
        <v>0</v>
      </c>
      <c r="BR2" t="s">
        <v>334</v>
      </c>
      <c r="BT2" t="s">
        <v>269</v>
      </c>
      <c r="BU2">
        <v>66</v>
      </c>
      <c r="BV2" t="s">
        <v>270</v>
      </c>
      <c r="BW2" t="s">
        <v>335</v>
      </c>
      <c r="BX2" t="s">
        <v>267</v>
      </c>
      <c r="BY2">
        <v>0</v>
      </c>
      <c r="BZ2" t="s">
        <v>271</v>
      </c>
      <c r="CA2" t="s">
        <v>113</v>
      </c>
      <c r="CB2">
        <v>11.82</v>
      </c>
      <c r="CC2">
        <v>2.23</v>
      </c>
      <c r="CD2">
        <v>2</v>
      </c>
      <c r="CE2" t="s">
        <v>310</v>
      </c>
      <c r="CF2">
        <v>17.739999999999998</v>
      </c>
      <c r="CG2">
        <v>1</v>
      </c>
      <c r="CH2">
        <v>85</v>
      </c>
      <c r="CI2">
        <v>116.3</v>
      </c>
      <c r="CJ2">
        <v>5</v>
      </c>
      <c r="CK2">
        <v>19</v>
      </c>
      <c r="CL2">
        <v>65</v>
      </c>
      <c r="CM2">
        <v>0</v>
      </c>
      <c r="CN2">
        <v>5.0000000000000001E-3</v>
      </c>
      <c r="CO2">
        <v>0.34300000000000003</v>
      </c>
      <c r="CP2">
        <v>1.31</v>
      </c>
      <c r="CQ2">
        <v>3.6150000000000002</v>
      </c>
      <c r="CR2">
        <v>0.30099999999999999</v>
      </c>
      <c r="CS2" t="s">
        <v>310</v>
      </c>
      <c r="CT2">
        <v>0</v>
      </c>
      <c r="CU2" t="s">
        <v>331</v>
      </c>
      <c r="CV2" t="s">
        <v>331</v>
      </c>
      <c r="CW2">
        <v>0</v>
      </c>
      <c r="CX2" t="s">
        <v>311</v>
      </c>
      <c r="CZ2">
        <v>0</v>
      </c>
    </row>
    <row r="3" spans="1:104" x14ac:dyDescent="0.25">
      <c r="A3" t="s">
        <v>318</v>
      </c>
      <c r="B3" t="s">
        <v>326</v>
      </c>
      <c r="C3" t="s">
        <v>170</v>
      </c>
      <c r="D3" t="s">
        <v>171</v>
      </c>
      <c r="E3" t="s">
        <v>277</v>
      </c>
      <c r="F3" t="s">
        <v>79</v>
      </c>
      <c r="G3">
        <v>80</v>
      </c>
      <c r="H3">
        <v>1</v>
      </c>
      <c r="I3">
        <v>0.38</v>
      </c>
      <c r="J3" t="s">
        <v>327</v>
      </c>
      <c r="K3">
        <v>1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S3">
        <v>0</v>
      </c>
      <c r="T3">
        <v>0</v>
      </c>
      <c r="U3">
        <v>0</v>
      </c>
      <c r="V3" t="s">
        <v>267</v>
      </c>
      <c r="W3">
        <v>0.38</v>
      </c>
      <c r="X3">
        <v>0</v>
      </c>
      <c r="Y3">
        <v>0</v>
      </c>
      <c r="Z3">
        <v>0</v>
      </c>
      <c r="AA3">
        <v>0</v>
      </c>
      <c r="AB3">
        <v>0</v>
      </c>
      <c r="AC3">
        <v>12.8</v>
      </c>
      <c r="AD3">
        <v>1</v>
      </c>
      <c r="AE3">
        <v>39</v>
      </c>
      <c r="AF3">
        <v>0</v>
      </c>
      <c r="AG3">
        <v>0</v>
      </c>
      <c r="AH3">
        <v>0</v>
      </c>
      <c r="AI3">
        <v>0</v>
      </c>
      <c r="AJ3">
        <v>0</v>
      </c>
      <c r="AK3" t="s">
        <v>328</v>
      </c>
      <c r="AL3" t="s">
        <v>329</v>
      </c>
      <c r="AM3" t="s">
        <v>330</v>
      </c>
      <c r="AN3" t="s">
        <v>319</v>
      </c>
      <c r="AO3" t="s">
        <v>320</v>
      </c>
      <c r="AP3" t="s">
        <v>172</v>
      </c>
      <c r="AQ3" t="s">
        <v>331</v>
      </c>
      <c r="AR3">
        <v>5</v>
      </c>
      <c r="AS3">
        <v>65</v>
      </c>
      <c r="AT3" t="s">
        <v>330</v>
      </c>
      <c r="AU3">
        <v>65</v>
      </c>
      <c r="AV3">
        <v>20</v>
      </c>
      <c r="AW3" t="s">
        <v>268</v>
      </c>
      <c r="AX3">
        <v>230</v>
      </c>
      <c r="AY3">
        <v>25</v>
      </c>
      <c r="AZ3">
        <v>230</v>
      </c>
      <c r="BC3" t="s">
        <v>307</v>
      </c>
      <c r="BD3">
        <v>0</v>
      </c>
      <c r="BE3" t="s">
        <v>308</v>
      </c>
      <c r="BF3" t="s">
        <v>332</v>
      </c>
      <c r="BG3">
        <v>111107.95</v>
      </c>
      <c r="BH3">
        <v>141065.5</v>
      </c>
      <c r="BI3">
        <v>118869.28</v>
      </c>
      <c r="BJ3" t="s">
        <v>333</v>
      </c>
      <c r="BK3">
        <v>0</v>
      </c>
      <c r="BL3">
        <v>10</v>
      </c>
      <c r="BM3" t="s">
        <v>168</v>
      </c>
      <c r="BN3">
        <v>20</v>
      </c>
      <c r="BO3" t="s">
        <v>309</v>
      </c>
      <c r="BP3">
        <v>30</v>
      </c>
      <c r="BQ3">
        <v>0</v>
      </c>
      <c r="BR3" t="s">
        <v>334</v>
      </c>
      <c r="BT3" t="s">
        <v>269</v>
      </c>
      <c r="BU3">
        <v>66</v>
      </c>
      <c r="BV3" t="s">
        <v>270</v>
      </c>
      <c r="BW3" t="s">
        <v>335</v>
      </c>
      <c r="BX3" t="s">
        <v>267</v>
      </c>
      <c r="BY3">
        <v>0</v>
      </c>
      <c r="BZ3" t="s">
        <v>271</v>
      </c>
      <c r="CA3" t="s">
        <v>113</v>
      </c>
      <c r="CB3">
        <v>14.1</v>
      </c>
      <c r="CC3">
        <v>0.38</v>
      </c>
      <c r="CD3">
        <v>0</v>
      </c>
      <c r="CE3" t="s">
        <v>310</v>
      </c>
      <c r="CF3">
        <v>17.739999999999998</v>
      </c>
      <c r="CG3">
        <v>1</v>
      </c>
      <c r="CH3">
        <v>85</v>
      </c>
      <c r="CI3">
        <v>116.3</v>
      </c>
      <c r="CJ3">
        <v>5</v>
      </c>
      <c r="CK3">
        <v>15</v>
      </c>
      <c r="CL3">
        <v>65</v>
      </c>
      <c r="CM3">
        <v>0</v>
      </c>
      <c r="CN3">
        <v>8.0000000000000002E-3</v>
      </c>
      <c r="CO3">
        <v>0.34300000000000003</v>
      </c>
      <c r="CP3">
        <v>1.31</v>
      </c>
      <c r="CQ3">
        <v>3.6150000000000002</v>
      </c>
      <c r="CR3">
        <v>0.30099999999999999</v>
      </c>
      <c r="CS3" t="s">
        <v>310</v>
      </c>
      <c r="CT3">
        <v>0</v>
      </c>
      <c r="CU3" t="s">
        <v>331</v>
      </c>
      <c r="CV3" t="s">
        <v>331</v>
      </c>
      <c r="CW3">
        <v>0</v>
      </c>
      <c r="CX3" t="s">
        <v>311</v>
      </c>
      <c r="CZ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F5BA-54AB-4902-8232-61C08F03957A}">
  <sheetPr codeName="Sheet3"/>
  <dimension ref="A1:F3"/>
  <sheetViews>
    <sheetView workbookViewId="0">
      <selection activeCell="I12" sqref="I12"/>
    </sheetView>
  </sheetViews>
  <sheetFormatPr defaultRowHeight="13.2" x14ac:dyDescent="0.25"/>
  <cols>
    <col min="1" max="1" width="68.109375" bestFit="1" customWidth="1"/>
    <col min="2" max="2" width="24.77734375" hidden="1" customWidth="1"/>
    <col min="3" max="4" width="31.109375" hidden="1" customWidth="1"/>
    <col min="5" max="6" width="8.88671875" hidden="1" customWidth="1"/>
  </cols>
  <sheetData>
    <row r="1" spans="1:6" x14ac:dyDescent="0.25">
      <c r="A1" s="79" t="s">
        <v>314</v>
      </c>
    </row>
    <row r="2" spans="1:6" x14ac:dyDescent="0.25">
      <c r="A2" t="s">
        <v>337</v>
      </c>
      <c r="B2" t="str">
        <f t="shared" ref="B2" si="0">LEFT(A2,FIND("_",A2)-1)</f>
        <v>10023</v>
      </c>
      <c r="C2" t="str">
        <f t="shared" ref="C2" si="1">IFERROR(MID(A2,FIND("_",A2)+1,FIND(" ",A2)+1-LEN(B2)-4),"1")</f>
        <v>1</v>
      </c>
      <c r="D2">
        <f>IFERROR(LEFT(C2,SEARCH("\",SUBSTITUTE(C2,".","\",LEN(C2)-LEN(SUBSTITUTE(C2,".",""))))-1),0)</f>
        <v>0</v>
      </c>
      <c r="E2">
        <f>IF(D2=0,0,_xlfn.XLOOKUP(D2,C:C,F:F))</f>
        <v>0</v>
      </c>
      <c r="F2">
        <f>Hide!P2</f>
        <v>1633</v>
      </c>
    </row>
    <row r="3" spans="1:6" x14ac:dyDescent="0.25">
      <c r="A3" t="s">
        <v>338</v>
      </c>
      <c r="B3" t="str">
        <f t="shared" ref="B3" si="2">LEFT(A3,FIND("_",A3)-1)</f>
        <v>10023</v>
      </c>
      <c r="C3" t="str">
        <f t="shared" ref="C3" si="3">IFERROR(MID(A3,FIND("_",A3)+1,FIND(" ",A3)+1-LEN(B3)-4),"1")</f>
        <v>1.1</v>
      </c>
      <c r="D3" t="str">
        <f t="shared" ref="D3" si="4">IFERROR(LEFT(C3,SEARCH("\",SUBSTITUTE(C3,".","\",LEN(C3)-LEN(SUBSTITUTE(C3,".",""))))-1),0)</f>
        <v>1</v>
      </c>
      <c r="E3">
        <f>IF(D3=0,0,_xlfn.XLOOKUP(D3,C:C,F:F))</f>
        <v>1633</v>
      </c>
      <c r="F3">
        <f>Hide!P3</f>
        <v>0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4100" r:id="rId4">
          <objectPr defaultSize="0" autoPict="0" r:id="rId5">
            <anchor moveWithCells="1">
              <from>
                <xdr:col>6</xdr:col>
                <xdr:colOff>281940</xdr:colOff>
                <xdr:row>2</xdr:row>
                <xdr:rowOff>60960</xdr:rowOff>
              </from>
              <to>
                <xdr:col>7</xdr:col>
                <xdr:colOff>426720</xdr:colOff>
                <xdr:row>7</xdr:row>
                <xdr:rowOff>137160</xdr:rowOff>
              </to>
            </anchor>
          </objectPr>
        </oleObject>
      </mc:Choice>
      <mc:Fallback>
        <oleObject progId="Packager Shell Object" shapeId="4100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indexed="11"/>
    <pageSetUpPr fitToPage="1"/>
  </sheetPr>
  <dimension ref="A1:CK10"/>
  <sheetViews>
    <sheetView tabSelected="1" zoomScale="85" zoomScaleNormal="85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Z12" sqref="Z12"/>
    </sheetView>
  </sheetViews>
  <sheetFormatPr defaultColWidth="3.88671875" defaultRowHeight="13.2" x14ac:dyDescent="0.25"/>
  <cols>
    <col min="1" max="1" width="12.44140625" style="1" hidden="1" customWidth="1"/>
    <col min="2" max="2" width="18.109375" style="5" hidden="1" customWidth="1"/>
    <col min="3" max="3" width="18" style="5" hidden="1" customWidth="1"/>
    <col min="4" max="4" width="7.88671875" style="5" hidden="1" customWidth="1"/>
    <col min="5" max="5" width="6.88671875" style="15" hidden="1" customWidth="1"/>
    <col min="6" max="6" width="28.44140625" style="1" bestFit="1" customWidth="1"/>
    <col min="7" max="7" width="7.88671875" style="1" bestFit="1" customWidth="1"/>
    <col min="8" max="8" width="6.44140625" style="1" bestFit="1" customWidth="1"/>
    <col min="9" max="10" width="7.88671875" style="5" hidden="1" customWidth="1"/>
    <col min="11" max="11" width="7.6640625" style="18" bestFit="1" customWidth="1"/>
    <col min="12" max="12" width="3.5546875" style="5" hidden="1" customWidth="1"/>
    <col min="13" max="13" width="4.5546875" style="1" customWidth="1"/>
    <col min="14" max="14" width="4.109375" style="1" customWidth="1"/>
    <col min="15" max="15" width="5" style="1" customWidth="1"/>
    <col min="16" max="16" width="5.5546875" style="5" customWidth="1"/>
    <col min="17" max="17" width="7.88671875" style="5" hidden="1" customWidth="1"/>
    <col min="18" max="19" width="7.88671875" style="1" bestFit="1" customWidth="1"/>
    <col min="20" max="20" width="7.88671875" style="76" hidden="1" customWidth="1"/>
    <col min="21" max="22" width="7.88671875" style="1" bestFit="1" customWidth="1"/>
    <col min="23" max="23" width="12.33203125" style="1" bestFit="1" customWidth="1"/>
    <col min="24" max="24" width="15.33203125" style="1" bestFit="1" customWidth="1"/>
    <col min="25" max="25" width="7" style="1" bestFit="1" customWidth="1"/>
    <col min="26" max="26" width="7.5546875" style="1" bestFit="1" customWidth="1"/>
    <col min="27" max="27" width="14.33203125" style="1" customWidth="1"/>
    <col min="28" max="28" width="7.33203125" style="1" bestFit="1" customWidth="1"/>
    <col min="29" max="29" width="9.5546875" style="5" hidden="1" customWidth="1"/>
    <col min="30" max="30" width="4.5546875" style="5" customWidth="1"/>
    <col min="31" max="31" width="7.6640625" style="5" bestFit="1" customWidth="1"/>
    <col min="32" max="32" width="7.6640625" style="5" hidden="1" customWidth="1"/>
    <col min="33" max="33" width="8.33203125" style="5" hidden="1" customWidth="1"/>
    <col min="34" max="35" width="4" style="1" bestFit="1" customWidth="1"/>
    <col min="36" max="36" width="5.33203125" style="1" bestFit="1" customWidth="1"/>
    <col min="37" max="37" width="7.33203125" style="1" bestFit="1" customWidth="1"/>
    <col min="38" max="38" width="4.6640625" style="1" bestFit="1" customWidth="1"/>
    <col min="39" max="39" width="32.44140625" style="1" hidden="1" customWidth="1"/>
    <col min="40" max="40" width="14.6640625" style="1" hidden="1" customWidth="1"/>
    <col min="41" max="41" width="11.6640625" style="1" bestFit="1" customWidth="1"/>
    <col min="42" max="42" width="13.5546875" style="1" bestFit="1" customWidth="1"/>
    <col min="43" max="43" width="9.5546875" style="1" customWidth="1"/>
    <col min="44" max="44" width="11.44140625" style="1" bestFit="1" customWidth="1"/>
    <col min="45" max="45" width="3.33203125" style="1" customWidth="1"/>
    <col min="46" max="48" width="7.6640625" style="1" bestFit="1" customWidth="1"/>
    <col min="49" max="49" width="7.6640625" style="1" hidden="1" customWidth="1"/>
    <col min="50" max="50" width="6.109375" style="1" bestFit="1" customWidth="1"/>
    <col min="51" max="51" width="7.33203125" style="1" customWidth="1"/>
    <col min="52" max="52" width="3.33203125" style="1" customWidth="1"/>
    <col min="53" max="54" width="3.33203125" style="1" hidden="1" customWidth="1"/>
    <col min="55" max="55" width="10.21875" style="1" bestFit="1" customWidth="1"/>
    <col min="56" max="58" width="3.33203125" style="1" customWidth="1"/>
    <col min="59" max="61" width="3.33203125" style="1" hidden="1" customWidth="1"/>
    <col min="62" max="64" width="3.33203125" style="1" customWidth="1"/>
    <col min="65" max="65" width="14.109375" style="1" bestFit="1" customWidth="1"/>
    <col min="66" max="66" width="5.6640625" style="39" hidden="1" customWidth="1"/>
    <col min="67" max="69" width="5.6640625" style="39" bestFit="1" customWidth="1"/>
    <col min="70" max="70" width="13.44140625" style="39" bestFit="1" customWidth="1"/>
    <col min="71" max="71" width="5.6640625" style="39" bestFit="1" customWidth="1"/>
    <col min="72" max="72" width="8.109375" style="39" bestFit="1" customWidth="1"/>
    <col min="73" max="74" width="5.6640625" style="39" bestFit="1" customWidth="1"/>
    <col min="75" max="75" width="6.77734375" style="39" bestFit="1" customWidth="1"/>
    <col min="76" max="84" width="5.6640625" style="39" bestFit="1" customWidth="1"/>
    <col min="85" max="86" width="3.88671875" style="1"/>
    <col min="90" max="16384" width="3.88671875" style="1"/>
  </cols>
  <sheetData>
    <row r="1" spans="1:84" s="13" customFormat="1" ht="115.5" customHeight="1" x14ac:dyDescent="0.25">
      <c r="A1" s="74" t="s">
        <v>6</v>
      </c>
      <c r="B1" s="51" t="s">
        <v>112</v>
      </c>
      <c r="C1" s="51" t="s">
        <v>111</v>
      </c>
      <c r="D1" s="28">
        <v>49</v>
      </c>
      <c r="E1" s="27" t="s">
        <v>52</v>
      </c>
      <c r="F1" s="26" t="s">
        <v>24</v>
      </c>
      <c r="G1" s="26" t="s">
        <v>30</v>
      </c>
      <c r="H1" s="26" t="s">
        <v>25</v>
      </c>
      <c r="I1" s="25" t="s">
        <v>26</v>
      </c>
      <c r="J1" s="25" t="s">
        <v>27</v>
      </c>
      <c r="K1" s="26" t="s">
        <v>7</v>
      </c>
      <c r="L1" s="25" t="s">
        <v>8</v>
      </c>
      <c r="M1" s="26" t="s">
        <v>9</v>
      </c>
      <c r="N1" s="26" t="s">
        <v>10</v>
      </c>
      <c r="O1" s="26" t="s">
        <v>47</v>
      </c>
      <c r="P1" s="26" t="s">
        <v>108</v>
      </c>
      <c r="Q1" s="25" t="s">
        <v>11</v>
      </c>
      <c r="R1" s="26" t="s">
        <v>12</v>
      </c>
      <c r="S1" s="26" t="s">
        <v>53</v>
      </c>
      <c r="T1" s="32" t="s">
        <v>13</v>
      </c>
      <c r="U1" s="26" t="s">
        <v>54</v>
      </c>
      <c r="V1" s="26" t="s">
        <v>103</v>
      </c>
      <c r="W1" s="26" t="s">
        <v>28</v>
      </c>
      <c r="X1" s="26" t="s">
        <v>29</v>
      </c>
      <c r="Y1" s="26" t="s">
        <v>14</v>
      </c>
      <c r="Z1" s="75" t="s">
        <v>15</v>
      </c>
      <c r="AA1" s="26" t="s">
        <v>38</v>
      </c>
      <c r="AB1" s="26" t="s">
        <v>39</v>
      </c>
      <c r="AC1" s="75" t="s">
        <v>34</v>
      </c>
      <c r="AD1" s="12" t="s">
        <v>16</v>
      </c>
      <c r="AE1" s="12" t="s">
        <v>17</v>
      </c>
      <c r="AF1" s="75" t="s">
        <v>31</v>
      </c>
      <c r="AG1" s="75" t="s">
        <v>18</v>
      </c>
      <c r="AH1" s="26" t="s">
        <v>32</v>
      </c>
      <c r="AI1" s="26" t="s">
        <v>33</v>
      </c>
      <c r="AJ1" s="75" t="s">
        <v>35</v>
      </c>
      <c r="AK1" s="75" t="s">
        <v>36</v>
      </c>
      <c r="AL1" s="12" t="s">
        <v>37</v>
      </c>
      <c r="AM1" s="12" t="s">
        <v>19</v>
      </c>
      <c r="AN1" s="12" t="s">
        <v>51</v>
      </c>
      <c r="AO1" s="12" t="s">
        <v>48</v>
      </c>
      <c r="AP1" s="12" t="s">
        <v>0</v>
      </c>
      <c r="AQ1" s="12" t="s">
        <v>1</v>
      </c>
      <c r="AR1" s="12" t="s">
        <v>2</v>
      </c>
      <c r="AS1" s="12" t="s">
        <v>115</v>
      </c>
      <c r="AT1" s="12" t="s">
        <v>3</v>
      </c>
      <c r="AU1" s="12" t="s">
        <v>4</v>
      </c>
      <c r="AV1" s="12" t="s">
        <v>5</v>
      </c>
      <c r="AW1" s="12" t="s">
        <v>107</v>
      </c>
      <c r="AX1" s="12" t="s">
        <v>116</v>
      </c>
      <c r="AY1" s="12" t="s">
        <v>117</v>
      </c>
      <c r="AZ1" s="12" t="s">
        <v>118</v>
      </c>
      <c r="BA1" s="12" t="s">
        <v>119</v>
      </c>
      <c r="BB1" s="12" t="s">
        <v>120</v>
      </c>
      <c r="BC1" s="12" t="s">
        <v>121</v>
      </c>
      <c r="BD1" s="12" t="s">
        <v>122</v>
      </c>
      <c r="BE1" s="12" t="s">
        <v>123</v>
      </c>
      <c r="BF1" s="12" t="s">
        <v>124</v>
      </c>
      <c r="BG1" s="12" t="s">
        <v>125</v>
      </c>
      <c r="BH1" s="12" t="s">
        <v>126</v>
      </c>
      <c r="BI1" s="12" t="s">
        <v>127</v>
      </c>
      <c r="BJ1" s="12" t="s">
        <v>128</v>
      </c>
      <c r="BK1" s="12" t="s">
        <v>129</v>
      </c>
      <c r="BL1" s="12" t="s">
        <v>130</v>
      </c>
      <c r="BM1" s="12" t="s">
        <v>131</v>
      </c>
      <c r="BN1" s="37" t="s">
        <v>110</v>
      </c>
      <c r="BO1" s="37" t="s">
        <v>291</v>
      </c>
      <c r="BP1" s="37" t="s">
        <v>293</v>
      </c>
      <c r="BQ1" s="37" t="s">
        <v>299</v>
      </c>
      <c r="BR1" s="26" t="s">
        <v>297</v>
      </c>
      <c r="BS1" s="26" t="s">
        <v>298</v>
      </c>
      <c r="BT1" s="26" t="s">
        <v>304</v>
      </c>
      <c r="BU1" s="26" t="s">
        <v>305</v>
      </c>
      <c r="BV1" s="26" t="s">
        <v>306</v>
      </c>
      <c r="BW1" s="26" t="s">
        <v>300</v>
      </c>
      <c r="BX1" s="26" t="s">
        <v>301</v>
      </c>
      <c r="BY1" s="26" t="s">
        <v>302</v>
      </c>
      <c r="BZ1" s="26" t="s">
        <v>316</v>
      </c>
      <c r="CA1" s="26" t="s">
        <v>317</v>
      </c>
      <c r="CB1" s="75" t="s">
        <v>323</v>
      </c>
      <c r="CC1" s="75" t="s">
        <v>324</v>
      </c>
      <c r="CD1" s="75" t="s">
        <v>321</v>
      </c>
      <c r="CE1" s="75" t="s">
        <v>322</v>
      </c>
      <c r="CF1" s="75" t="s">
        <v>325</v>
      </c>
    </row>
    <row r="2" spans="1:84" s="8" customFormat="1" x14ac:dyDescent="0.25">
      <c r="A2" s="9"/>
      <c r="B2" s="10"/>
      <c r="C2" s="10"/>
      <c r="D2" s="10"/>
      <c r="E2" s="14"/>
      <c r="F2" s="9"/>
      <c r="G2" s="9"/>
      <c r="H2" s="9"/>
      <c r="I2" s="10"/>
      <c r="J2" s="10"/>
      <c r="K2" s="17" t="s">
        <v>20</v>
      </c>
      <c r="L2" s="24" t="s">
        <v>21</v>
      </c>
      <c r="M2" s="11" t="s">
        <v>21</v>
      </c>
      <c r="N2" s="11" t="s">
        <v>21</v>
      </c>
      <c r="O2" s="11" t="s">
        <v>21</v>
      </c>
      <c r="P2" s="24" t="s">
        <v>21</v>
      </c>
      <c r="Q2" s="24" t="s">
        <v>21</v>
      </c>
      <c r="R2" s="11" t="s">
        <v>22</v>
      </c>
      <c r="S2" s="11" t="s">
        <v>22</v>
      </c>
      <c r="T2" s="33" t="s">
        <v>22</v>
      </c>
      <c r="U2" s="11" t="s">
        <v>22</v>
      </c>
      <c r="V2" s="11" t="s">
        <v>22</v>
      </c>
      <c r="W2" s="9"/>
      <c r="X2" s="9"/>
      <c r="Y2" s="11" t="s">
        <v>23</v>
      </c>
      <c r="Z2" s="9"/>
      <c r="AA2" s="24" t="s">
        <v>22</v>
      </c>
      <c r="AB2" s="24" t="s">
        <v>22</v>
      </c>
      <c r="AC2" s="10"/>
      <c r="AD2" s="10"/>
      <c r="AE2" s="10"/>
      <c r="AF2" s="10"/>
      <c r="AG2" s="10"/>
      <c r="AH2" s="11" t="s">
        <v>42</v>
      </c>
      <c r="AI2" s="11" t="s">
        <v>41</v>
      </c>
      <c r="AJ2" s="11" t="s">
        <v>40</v>
      </c>
      <c r="AK2" s="24" t="s">
        <v>22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9"/>
      <c r="BO2" s="9"/>
      <c r="BP2" s="9"/>
      <c r="BQ2" s="9"/>
      <c r="BR2" s="11"/>
      <c r="BS2" s="11" t="s">
        <v>23</v>
      </c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</row>
    <row r="3" spans="1:84" s="3" customFormat="1" ht="12" customHeight="1" x14ac:dyDescent="0.2">
      <c r="A3" s="6">
        <v>1</v>
      </c>
      <c r="B3" s="6">
        <v>2</v>
      </c>
      <c r="C3" s="6">
        <v>3</v>
      </c>
      <c r="D3" s="6">
        <v>4</v>
      </c>
      <c r="E3" s="16">
        <v>5</v>
      </c>
      <c r="F3" s="6">
        <v>6</v>
      </c>
      <c r="G3" s="7">
        <v>7</v>
      </c>
      <c r="H3" s="7">
        <v>8</v>
      </c>
      <c r="I3" s="6">
        <v>9</v>
      </c>
      <c r="J3" s="6">
        <v>10</v>
      </c>
      <c r="K3" s="35">
        <v>11</v>
      </c>
      <c r="L3" s="6">
        <v>12</v>
      </c>
      <c r="M3" s="6">
        <v>13</v>
      </c>
      <c r="N3" s="6">
        <v>14</v>
      </c>
      <c r="O3" s="6">
        <v>15</v>
      </c>
      <c r="P3" s="6">
        <v>16</v>
      </c>
      <c r="Q3" s="6">
        <v>17</v>
      </c>
      <c r="R3" s="6">
        <v>18</v>
      </c>
      <c r="S3" s="6">
        <v>19</v>
      </c>
      <c r="T3" s="34">
        <v>20</v>
      </c>
      <c r="U3" s="6">
        <v>21</v>
      </c>
      <c r="V3" s="6">
        <v>22</v>
      </c>
      <c r="W3" s="6">
        <v>23</v>
      </c>
      <c r="X3" s="6">
        <v>24</v>
      </c>
      <c r="Y3" s="6">
        <v>25</v>
      </c>
      <c r="Z3" s="6">
        <v>26</v>
      </c>
      <c r="AA3" s="6">
        <v>27</v>
      </c>
      <c r="AB3" s="6">
        <v>28</v>
      </c>
      <c r="AC3" s="6">
        <v>29</v>
      </c>
      <c r="AD3" s="6">
        <v>30</v>
      </c>
      <c r="AE3" s="6">
        <v>31</v>
      </c>
      <c r="AF3" s="6">
        <v>32</v>
      </c>
      <c r="AG3" s="6">
        <v>33</v>
      </c>
      <c r="AH3" s="6">
        <v>34</v>
      </c>
      <c r="AI3" s="6">
        <v>35</v>
      </c>
      <c r="AJ3" s="6">
        <v>36</v>
      </c>
      <c r="AK3" s="6">
        <v>37</v>
      </c>
      <c r="AL3" s="6">
        <v>38</v>
      </c>
      <c r="AM3" s="6">
        <v>39</v>
      </c>
      <c r="AN3" s="6">
        <v>40</v>
      </c>
      <c r="AO3" s="6">
        <v>41</v>
      </c>
      <c r="AP3" s="6">
        <v>42</v>
      </c>
      <c r="AQ3" s="6">
        <v>43</v>
      </c>
      <c r="AR3" s="6">
        <v>44</v>
      </c>
      <c r="AS3" s="6">
        <v>45</v>
      </c>
      <c r="AT3" s="6">
        <v>46</v>
      </c>
      <c r="AU3" s="6">
        <v>47</v>
      </c>
      <c r="AV3" s="6">
        <v>48</v>
      </c>
      <c r="AW3" s="6">
        <v>49</v>
      </c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</row>
    <row r="4" spans="1:84" s="49" customFormat="1" ht="12.75" customHeight="1" x14ac:dyDescent="0.25">
      <c r="A4" s="71"/>
      <c r="B4" s="72"/>
      <c r="C4" s="73"/>
      <c r="D4" s="50"/>
      <c r="E4" s="50"/>
      <c r="F4" s="78" t="s">
        <v>340</v>
      </c>
      <c r="G4" s="48">
        <v>1</v>
      </c>
      <c r="H4">
        <v>50</v>
      </c>
      <c r="I4" s="50"/>
      <c r="J4" s="50"/>
      <c r="K4"/>
      <c r="L4" s="58"/>
      <c r="M4">
        <v>0</v>
      </c>
      <c r="N4">
        <v>0</v>
      </c>
      <c r="O4">
        <v>0</v>
      </c>
      <c r="P4" s="58">
        <v>0</v>
      </c>
      <c r="Q4" s="50"/>
      <c r="R4">
        <v>5</v>
      </c>
      <c r="S4">
        <v>20</v>
      </c>
      <c r="T4" s="50"/>
      <c r="U4">
        <v>65</v>
      </c>
      <c r="V4">
        <v>65</v>
      </c>
      <c r="W4" t="s">
        <v>79</v>
      </c>
      <c r="X4" t="s">
        <v>294</v>
      </c>
      <c r="Y4">
        <v>20</v>
      </c>
      <c r="Z4" s="50" t="s">
        <v>55</v>
      </c>
      <c r="AA4" s="50">
        <v>-52</v>
      </c>
      <c r="AB4" s="50">
        <v>30</v>
      </c>
      <c r="AC4" s="50"/>
      <c r="AD4" t="s">
        <v>270</v>
      </c>
      <c r="AE4" s="50" t="s">
        <v>132</v>
      </c>
      <c r="AF4" s="50"/>
      <c r="AG4" s="50"/>
      <c r="AH4">
        <v>230</v>
      </c>
      <c r="AI4">
        <v>25</v>
      </c>
      <c r="AJ4">
        <v>10</v>
      </c>
      <c r="AK4" s="50">
        <v>-52</v>
      </c>
      <c r="AL4">
        <v>0.1</v>
      </c>
      <c r="AM4" s="59"/>
      <c r="AN4"/>
      <c r="AO4" t="s">
        <v>333</v>
      </c>
      <c r="AP4" t="s">
        <v>335</v>
      </c>
      <c r="AQ4" t="s">
        <v>329</v>
      </c>
      <c r="AR4" t="s">
        <v>328</v>
      </c>
      <c r="AS4"/>
      <c r="AT4">
        <v>111107.95</v>
      </c>
      <c r="AU4">
        <v>141065.5</v>
      </c>
      <c r="AV4">
        <v>118869.28</v>
      </c>
      <c r="AW4" s="56"/>
      <c r="AX4" t="s">
        <v>330</v>
      </c>
      <c r="AY4" t="s">
        <v>326</v>
      </c>
      <c r="AZ4" s="56">
        <v>0</v>
      </c>
      <c r="BA4" s="56"/>
      <c r="BB4" s="56" t="s">
        <v>330</v>
      </c>
      <c r="BC4" t="s">
        <v>334</v>
      </c>
      <c r="BD4">
        <v>0</v>
      </c>
      <c r="BE4">
        <v>0</v>
      </c>
      <c r="BF4">
        <v>0</v>
      </c>
      <c r="BG4" s="56" t="s">
        <v>326</v>
      </c>
      <c r="BH4" s="56">
        <v>0</v>
      </c>
      <c r="BI4" s="56"/>
      <c r="BJ4">
        <v>0</v>
      </c>
      <c r="BK4" s="56">
        <v>0</v>
      </c>
      <c r="BL4" s="56">
        <v>0</v>
      </c>
      <c r="BM4" t="s">
        <v>332</v>
      </c>
      <c r="BN4" s="52" t="s">
        <v>330</v>
      </c>
      <c r="BO4" s="52">
        <v>0</v>
      </c>
      <c r="BP4" s="52">
        <v>0</v>
      </c>
      <c r="BQ4" t="b">
        <v>1</v>
      </c>
      <c r="BR4" t="s">
        <v>295</v>
      </c>
      <c r="BS4">
        <v>20</v>
      </c>
      <c r="BT4">
        <v>1</v>
      </c>
      <c r="BU4">
        <v>1</v>
      </c>
      <c r="BV4" t="s">
        <v>327</v>
      </c>
      <c r="BW4" t="b">
        <v>0</v>
      </c>
      <c r="BX4">
        <v>2</v>
      </c>
      <c r="BY4">
        <v>0</v>
      </c>
      <c r="BZ4">
        <v>230</v>
      </c>
      <c r="CA4">
        <v>0</v>
      </c>
      <c r="CB4" t="b">
        <v>1</v>
      </c>
      <c r="CC4" t="b">
        <v>1</v>
      </c>
      <c r="CD4" t="s">
        <v>339</v>
      </c>
      <c r="CE4" t="s">
        <v>310</v>
      </c>
      <c r="CF4">
        <v>0</v>
      </c>
    </row>
    <row r="5" spans="1:84" s="49" customFormat="1" ht="12.75" customHeight="1" x14ac:dyDescent="0.25">
      <c r="A5" s="71"/>
      <c r="B5" s="72"/>
      <c r="C5" s="73"/>
      <c r="D5" s="50"/>
      <c r="E5" s="50"/>
      <c r="F5" s="78" t="s">
        <v>341</v>
      </c>
      <c r="G5" s="48">
        <v>2</v>
      </c>
      <c r="H5">
        <v>80</v>
      </c>
      <c r="I5" s="50"/>
      <c r="J5" s="50"/>
      <c r="K5"/>
      <c r="L5" s="58"/>
      <c r="M5">
        <v>0</v>
      </c>
      <c r="N5">
        <v>0</v>
      </c>
      <c r="O5">
        <v>0</v>
      </c>
      <c r="P5" s="58">
        <v>0</v>
      </c>
      <c r="Q5" s="50"/>
      <c r="R5">
        <v>5</v>
      </c>
      <c r="S5">
        <v>20</v>
      </c>
      <c r="T5" s="50"/>
      <c r="U5">
        <v>65</v>
      </c>
      <c r="V5">
        <v>65</v>
      </c>
      <c r="W5" t="s">
        <v>79</v>
      </c>
      <c r="X5" t="s">
        <v>294</v>
      </c>
      <c r="Y5">
        <v>20</v>
      </c>
      <c r="Z5" s="50" t="s">
        <v>55</v>
      </c>
      <c r="AA5" s="50">
        <v>-52</v>
      </c>
      <c r="AB5" s="50">
        <v>30</v>
      </c>
      <c r="AC5" s="50"/>
      <c r="AD5" t="s">
        <v>270</v>
      </c>
      <c r="AE5" s="50" t="s">
        <v>132</v>
      </c>
      <c r="AF5" s="50"/>
      <c r="AG5" s="50"/>
      <c r="AH5">
        <v>230</v>
      </c>
      <c r="AI5">
        <v>25</v>
      </c>
      <c r="AJ5">
        <v>10</v>
      </c>
      <c r="AK5" s="50">
        <v>-52</v>
      </c>
      <c r="AL5">
        <v>0.1</v>
      </c>
      <c r="AM5" s="59"/>
      <c r="AN5"/>
      <c r="AO5" t="s">
        <v>333</v>
      </c>
      <c r="AP5" t="s">
        <v>335</v>
      </c>
      <c r="AQ5" t="s">
        <v>329</v>
      </c>
      <c r="AR5" t="s">
        <v>328</v>
      </c>
      <c r="AS5"/>
      <c r="AT5">
        <v>111107.95</v>
      </c>
      <c r="AU5">
        <v>141065.5</v>
      </c>
      <c r="AV5">
        <v>118869.28</v>
      </c>
      <c r="AW5" s="56"/>
      <c r="AX5" t="s">
        <v>330</v>
      </c>
      <c r="AY5" t="s">
        <v>326</v>
      </c>
      <c r="AZ5" s="56">
        <v>0</v>
      </c>
      <c r="BA5" s="56"/>
      <c r="BB5" s="56" t="s">
        <v>330</v>
      </c>
      <c r="BC5" t="s">
        <v>334</v>
      </c>
      <c r="BD5">
        <v>0</v>
      </c>
      <c r="BE5">
        <v>0</v>
      </c>
      <c r="BF5">
        <v>0</v>
      </c>
      <c r="BG5" s="56" t="s">
        <v>326</v>
      </c>
      <c r="BH5" s="56">
        <v>0</v>
      </c>
      <c r="BI5" s="56"/>
      <c r="BJ5">
        <v>0</v>
      </c>
      <c r="BK5" s="56">
        <v>0</v>
      </c>
      <c r="BL5" s="56">
        <v>0</v>
      </c>
      <c r="BM5" t="s">
        <v>332</v>
      </c>
      <c r="BN5" s="52" t="s">
        <v>330</v>
      </c>
      <c r="BO5" s="52">
        <v>0</v>
      </c>
      <c r="BP5" s="52">
        <v>0</v>
      </c>
      <c r="BQ5" t="b">
        <v>1</v>
      </c>
      <c r="BR5" t="s">
        <v>295</v>
      </c>
      <c r="BS5">
        <v>30</v>
      </c>
      <c r="BT5">
        <v>1</v>
      </c>
      <c r="BU5">
        <v>1</v>
      </c>
      <c r="BV5" t="s">
        <v>327</v>
      </c>
      <c r="BW5" t="b">
        <v>0</v>
      </c>
      <c r="BX5">
        <v>2</v>
      </c>
      <c r="BY5">
        <v>0</v>
      </c>
      <c r="BZ5">
        <v>230</v>
      </c>
      <c r="CA5">
        <v>0</v>
      </c>
      <c r="CB5" t="b">
        <v>1</v>
      </c>
      <c r="CC5" t="b">
        <v>1</v>
      </c>
      <c r="CD5" t="s">
        <v>339</v>
      </c>
      <c r="CE5" t="s">
        <v>310</v>
      </c>
      <c r="CF5">
        <v>0</v>
      </c>
    </row>
    <row r="6" spans="1:84" s="49" customFormat="1" ht="12.75" customHeight="1" x14ac:dyDescent="0.25">
      <c r="A6" s="71"/>
      <c r="B6" s="72"/>
      <c r="C6" s="73"/>
      <c r="D6" s="50"/>
      <c r="E6" s="50"/>
      <c r="F6" s="78" t="s">
        <v>342</v>
      </c>
      <c r="G6" s="48">
        <v>3</v>
      </c>
      <c r="H6">
        <v>50</v>
      </c>
      <c r="I6" s="50"/>
      <c r="J6" s="50"/>
      <c r="K6"/>
      <c r="L6" s="58"/>
      <c r="M6">
        <v>1</v>
      </c>
      <c r="N6">
        <v>0</v>
      </c>
      <c r="O6">
        <v>0</v>
      </c>
      <c r="P6" s="58">
        <v>0</v>
      </c>
      <c r="Q6" s="50"/>
      <c r="R6">
        <v>5</v>
      </c>
      <c r="S6">
        <v>20</v>
      </c>
      <c r="T6" s="50"/>
      <c r="U6">
        <v>65</v>
      </c>
      <c r="V6">
        <v>65</v>
      </c>
      <c r="W6" t="s">
        <v>79</v>
      </c>
      <c r="X6" t="s">
        <v>294</v>
      </c>
      <c r="Y6">
        <v>20</v>
      </c>
      <c r="Z6" s="50" t="s">
        <v>55</v>
      </c>
      <c r="AA6" s="50">
        <v>-52</v>
      </c>
      <c r="AB6" s="50">
        <v>30</v>
      </c>
      <c r="AC6" s="50"/>
      <c r="AD6" t="s">
        <v>270</v>
      </c>
      <c r="AE6" s="50" t="s">
        <v>132</v>
      </c>
      <c r="AF6" s="50"/>
      <c r="AG6" s="50"/>
      <c r="AH6">
        <v>230</v>
      </c>
      <c r="AI6">
        <v>25</v>
      </c>
      <c r="AJ6">
        <v>10</v>
      </c>
      <c r="AK6" s="50">
        <v>-52</v>
      </c>
      <c r="AL6">
        <v>0.1</v>
      </c>
      <c r="AM6" s="59"/>
      <c r="AN6"/>
      <c r="AO6" t="s">
        <v>333</v>
      </c>
      <c r="AP6" t="s">
        <v>335</v>
      </c>
      <c r="AQ6" t="s">
        <v>329</v>
      </c>
      <c r="AR6" t="s">
        <v>328</v>
      </c>
      <c r="AS6"/>
      <c r="AT6">
        <v>111107.95</v>
      </c>
      <c r="AU6">
        <v>141065.5</v>
      </c>
      <c r="AV6">
        <v>118869.28</v>
      </c>
      <c r="AW6" s="56"/>
      <c r="AX6" t="s">
        <v>330</v>
      </c>
      <c r="AY6" t="s">
        <v>326</v>
      </c>
      <c r="AZ6" s="56">
        <v>0</v>
      </c>
      <c r="BA6" s="56"/>
      <c r="BB6" s="56" t="s">
        <v>330</v>
      </c>
      <c r="BC6" t="s">
        <v>334</v>
      </c>
      <c r="BD6">
        <v>0</v>
      </c>
      <c r="BE6">
        <v>0</v>
      </c>
      <c r="BF6">
        <v>0</v>
      </c>
      <c r="BG6" s="56" t="s">
        <v>326</v>
      </c>
      <c r="BH6" s="56">
        <v>0</v>
      </c>
      <c r="BI6" s="56"/>
      <c r="BJ6">
        <v>0</v>
      </c>
      <c r="BK6" s="56">
        <v>0</v>
      </c>
      <c r="BL6" s="56">
        <v>0</v>
      </c>
      <c r="BM6" t="s">
        <v>332</v>
      </c>
      <c r="BN6" s="52" t="s">
        <v>330</v>
      </c>
      <c r="BO6" s="52">
        <v>0</v>
      </c>
      <c r="BP6" s="52">
        <v>0.6</v>
      </c>
      <c r="BQ6" t="b">
        <v>1</v>
      </c>
      <c r="BR6" t="s">
        <v>295</v>
      </c>
      <c r="BS6">
        <v>20</v>
      </c>
      <c r="BT6">
        <v>1</v>
      </c>
      <c r="BU6">
        <v>1</v>
      </c>
      <c r="BV6" t="s">
        <v>327</v>
      </c>
      <c r="BW6" t="b">
        <v>0</v>
      </c>
      <c r="BX6">
        <v>2</v>
      </c>
      <c r="BY6">
        <v>0</v>
      </c>
      <c r="BZ6">
        <v>230</v>
      </c>
      <c r="CA6">
        <v>0</v>
      </c>
      <c r="CB6" t="b">
        <v>1</v>
      </c>
      <c r="CC6" t="b">
        <v>1</v>
      </c>
      <c r="CD6" t="s">
        <v>339</v>
      </c>
      <c r="CE6" t="s">
        <v>310</v>
      </c>
      <c r="CF6">
        <v>0</v>
      </c>
    </row>
    <row r="7" spans="1:84" s="49" customFormat="1" ht="12.75" customHeight="1" x14ac:dyDescent="0.25">
      <c r="A7" s="71"/>
      <c r="B7" s="72"/>
      <c r="C7" s="73"/>
      <c r="D7" s="50"/>
      <c r="E7" s="50"/>
      <c r="F7" s="78" t="s">
        <v>343</v>
      </c>
      <c r="G7" s="48">
        <v>4</v>
      </c>
      <c r="H7">
        <v>25</v>
      </c>
      <c r="I7" s="50"/>
      <c r="J7" s="50"/>
      <c r="K7"/>
      <c r="L7" s="58"/>
      <c r="M7">
        <v>0</v>
      </c>
      <c r="N7">
        <v>0</v>
      </c>
      <c r="O7">
        <v>0</v>
      </c>
      <c r="P7" s="58">
        <v>0</v>
      </c>
      <c r="Q7" s="50"/>
      <c r="R7">
        <v>5</v>
      </c>
      <c r="S7">
        <v>20</v>
      </c>
      <c r="T7" s="50"/>
      <c r="U7">
        <v>65</v>
      </c>
      <c r="V7">
        <v>65</v>
      </c>
      <c r="W7" t="s">
        <v>79</v>
      </c>
      <c r="X7" t="s">
        <v>294</v>
      </c>
      <c r="Y7">
        <v>20</v>
      </c>
      <c r="Z7" s="50" t="s">
        <v>55</v>
      </c>
      <c r="AA7" s="50">
        <v>-52</v>
      </c>
      <c r="AB7" s="50">
        <v>30</v>
      </c>
      <c r="AC7" s="50"/>
      <c r="AD7" t="s">
        <v>270</v>
      </c>
      <c r="AE7" s="50" t="s">
        <v>132</v>
      </c>
      <c r="AF7" s="50"/>
      <c r="AG7" s="50"/>
      <c r="AH7">
        <v>230</v>
      </c>
      <c r="AI7">
        <v>25</v>
      </c>
      <c r="AJ7">
        <v>10</v>
      </c>
      <c r="AK7" s="50">
        <v>-52</v>
      </c>
      <c r="AL7">
        <v>0.1</v>
      </c>
      <c r="AM7" s="59"/>
      <c r="AN7"/>
      <c r="AO7" t="s">
        <v>333</v>
      </c>
      <c r="AP7" t="s">
        <v>336</v>
      </c>
      <c r="AQ7" t="s">
        <v>329</v>
      </c>
      <c r="AR7" t="s">
        <v>328</v>
      </c>
      <c r="AS7"/>
      <c r="AT7">
        <v>111107.95</v>
      </c>
      <c r="AU7">
        <v>141065.5</v>
      </c>
      <c r="AV7">
        <v>118869.28</v>
      </c>
      <c r="AW7" s="56"/>
      <c r="AX7" t="s">
        <v>330</v>
      </c>
      <c r="AY7" t="s">
        <v>326</v>
      </c>
      <c r="AZ7" s="56">
        <v>0</v>
      </c>
      <c r="BA7" s="56"/>
      <c r="BB7" s="56" t="s">
        <v>330</v>
      </c>
      <c r="BC7" t="s">
        <v>334</v>
      </c>
      <c r="BD7">
        <v>0</v>
      </c>
      <c r="BE7">
        <v>0</v>
      </c>
      <c r="BF7">
        <v>0</v>
      </c>
      <c r="BG7" s="56" t="s">
        <v>326</v>
      </c>
      <c r="BH7" s="56">
        <v>0</v>
      </c>
      <c r="BI7" s="56"/>
      <c r="BJ7">
        <v>0</v>
      </c>
      <c r="BK7" s="56">
        <v>0</v>
      </c>
      <c r="BL7" s="56">
        <v>0</v>
      </c>
      <c r="BM7" t="s">
        <v>332</v>
      </c>
      <c r="BN7" s="52" t="s">
        <v>330</v>
      </c>
      <c r="BO7" s="52">
        <v>0</v>
      </c>
      <c r="BP7" s="52">
        <v>0</v>
      </c>
      <c r="BQ7" t="b">
        <v>1</v>
      </c>
      <c r="BR7" t="s">
        <v>295</v>
      </c>
      <c r="BS7">
        <v>20</v>
      </c>
      <c r="BT7">
        <v>1</v>
      </c>
      <c r="BU7">
        <v>1</v>
      </c>
      <c r="BV7" t="s">
        <v>327</v>
      </c>
      <c r="BW7" t="b">
        <v>0</v>
      </c>
      <c r="BX7">
        <v>2</v>
      </c>
      <c r="BY7">
        <v>0</v>
      </c>
      <c r="BZ7">
        <v>230</v>
      </c>
      <c r="CA7">
        <v>0</v>
      </c>
      <c r="CB7" t="b">
        <v>1</v>
      </c>
      <c r="CC7" t="b">
        <v>1</v>
      </c>
      <c r="CD7" t="s">
        <v>339</v>
      </c>
      <c r="CE7" t="s">
        <v>312</v>
      </c>
      <c r="CF7">
        <v>0</v>
      </c>
    </row>
    <row r="8" spans="1:84" s="4" customFormat="1" ht="79.2" x14ac:dyDescent="0.25">
      <c r="A8" s="19"/>
      <c r="B8" s="20"/>
      <c r="C8" s="20"/>
      <c r="D8" s="20"/>
      <c r="E8" s="20"/>
      <c r="F8" s="31" t="s">
        <v>101</v>
      </c>
      <c r="G8" s="22" t="s">
        <v>50</v>
      </c>
      <c r="H8" s="20"/>
      <c r="I8" s="20"/>
      <c r="J8" s="20"/>
      <c r="K8" s="21"/>
      <c r="L8" s="20"/>
      <c r="M8" s="19"/>
      <c r="N8" s="19"/>
      <c r="O8" s="19"/>
      <c r="P8" s="20"/>
      <c r="Q8" s="20"/>
      <c r="R8" s="20"/>
      <c r="S8" s="20"/>
      <c r="T8" s="22" t="s">
        <v>49</v>
      </c>
      <c r="U8" s="20"/>
      <c r="V8" s="20"/>
      <c r="W8" s="20"/>
      <c r="X8" s="20"/>
      <c r="Y8" s="20"/>
      <c r="Z8" s="19"/>
      <c r="AA8" s="19"/>
      <c r="AB8" s="19"/>
      <c r="AC8" s="20"/>
      <c r="AD8" s="20"/>
      <c r="AE8" s="20"/>
      <c r="AF8" s="20"/>
      <c r="AG8" s="20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</row>
    <row r="9" spans="1:84" x14ac:dyDescent="0.25">
      <c r="E9" s="47"/>
      <c r="F9" s="57">
        <f>SUBTOTAL(3,LineNumbers)</f>
        <v>4</v>
      </c>
      <c r="G9" s="23"/>
      <c r="H9" s="23"/>
      <c r="I9" s="23"/>
      <c r="J9" s="23"/>
      <c r="K9" s="69">
        <f>SUBTOTAL(9,PipeLength)</f>
        <v>0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" t="str">
        <f>IF(SUMPRODUCT(--(ISNA(MATCH($W$4:$W$7,'Data Input'!$A$3:$A$30,0))))&gt;0=TRUE,"Error in data","Ok")</f>
        <v>Ok</v>
      </c>
      <c r="X9" s="2" t="str" cm="1">
        <f t="array" ref="X9">IF(SUMPRODUCT(--(ISNA(MATCH($X$4:$X$7,'Data Input'!C3:C20,0))))&gt;0=TRUE,"Error in data","Ok")</f>
        <v>Ok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</row>
    <row r="10" spans="1:84" x14ac:dyDescent="0.25">
      <c r="BV10" s="39">
        <f>COLUMN()</f>
        <v>74</v>
      </c>
    </row>
  </sheetData>
  <sheetProtection formatColumns="0" formatRows="0" autoFilter="0"/>
  <autoFilter ref="A3:BN9" xr:uid="{00000000-0001-0000-0200-000000000000}"/>
  <phoneticPr fontId="0" type="noConversion"/>
  <conditionalFormatting sqref="A4:A7">
    <cfRule type="expression" dxfId="34" priority="318" stopIfTrue="1">
      <formula>LEN(A4)&gt;30</formula>
    </cfRule>
  </conditionalFormatting>
  <conditionalFormatting sqref="AA4:AA7">
    <cfRule type="cellIs" dxfId="33" priority="309" stopIfTrue="1" operator="greaterThan">
      <formula>AK4</formula>
    </cfRule>
  </conditionalFormatting>
  <conditionalFormatting sqref="F4:F7">
    <cfRule type="expression" dxfId="32" priority="308" stopIfTrue="1">
      <formula>LEN(F4)&gt;30</formula>
    </cfRule>
    <cfRule type="expression" dxfId="31" priority="321" stopIfTrue="1">
      <formula>LEN(F4)&gt;30</formula>
    </cfRule>
  </conditionalFormatting>
  <conditionalFormatting sqref="E9 E4:E7">
    <cfRule type="expression" dxfId="30" priority="306" stopIfTrue="1">
      <formula>LEN(E4)&gt;30</formula>
    </cfRule>
    <cfRule type="expression" dxfId="29" priority="315" stopIfTrue="1">
      <formula>LEN(E4)&gt;10</formula>
    </cfRule>
  </conditionalFormatting>
  <conditionalFormatting sqref="U4:U7">
    <cfRule type="cellIs" dxfId="28" priority="285" operator="greaterThan">
      <formula>V4</formula>
    </cfRule>
    <cfRule type="cellIs" dxfId="27" priority="298" operator="lessThan">
      <formula>R4</formula>
    </cfRule>
  </conditionalFormatting>
  <conditionalFormatting sqref="AK4:AK7">
    <cfRule type="cellIs" dxfId="26" priority="296" operator="lessThan">
      <formula>AA4</formula>
    </cfRule>
  </conditionalFormatting>
  <conditionalFormatting sqref="Y4:Y7">
    <cfRule type="cellIs" dxfId="25" priority="300" operator="equal">
      <formula>0</formula>
    </cfRule>
  </conditionalFormatting>
  <conditionalFormatting sqref="R4:R7">
    <cfRule type="cellIs" dxfId="24" priority="19" operator="greaterThan">
      <formula>V4</formula>
    </cfRule>
    <cfRule type="cellIs" dxfId="23" priority="292" operator="greaterThan">
      <formula>U4</formula>
    </cfRule>
  </conditionalFormatting>
  <conditionalFormatting sqref="S4:S7 V4:V7">
    <cfRule type="cellIs" dxfId="22" priority="291" operator="lessThan">
      <formula>R4</formula>
    </cfRule>
  </conditionalFormatting>
  <conditionalFormatting sqref="R4:S7 H4:H7 BR4:BR7 U4:AB7 AH4:AL7 F4:F7">
    <cfRule type="containsBlanks" dxfId="21" priority="283">
      <formula>LEN(TRIM(F4))=0</formula>
    </cfRule>
  </conditionalFormatting>
  <conditionalFormatting sqref="AM4:AS7">
    <cfRule type="expression" dxfId="20" priority="280">
      <formula>LEN(AM4)&gt;50</formula>
    </cfRule>
  </conditionalFormatting>
  <conditionalFormatting sqref="AT4:AV7">
    <cfRule type="expression" dxfId="19" priority="273">
      <formula>LEN(AT4)&gt;10</formula>
    </cfRule>
  </conditionalFormatting>
  <conditionalFormatting sqref="B4:B7">
    <cfRule type="cellIs" dxfId="18" priority="269" operator="equal">
      <formula>"Error"</formula>
    </cfRule>
    <cfRule type="cellIs" dxfId="17" priority="270" operator="equal">
      <formula>"Ok"</formula>
    </cfRule>
  </conditionalFormatting>
  <conditionalFormatting sqref="BN4:BN7">
    <cfRule type="cellIs" dxfId="16" priority="267" operator="equal">
      <formula>0</formula>
    </cfRule>
    <cfRule type="cellIs" dxfId="15" priority="268" operator="notEqual">
      <formula>0</formula>
    </cfRule>
  </conditionalFormatting>
  <conditionalFormatting sqref="W9">
    <cfRule type="cellIs" dxfId="14" priority="23" operator="equal">
      <formula>"OK"</formula>
    </cfRule>
    <cfRule type="cellIs" dxfId="13" priority="24" operator="equal">
      <formula>"Error in data"</formula>
    </cfRule>
  </conditionalFormatting>
  <conditionalFormatting sqref="X9">
    <cfRule type="cellIs" dxfId="12" priority="21" operator="equal">
      <formula>"OK"</formula>
    </cfRule>
    <cfRule type="cellIs" dxfId="11" priority="22" operator="equal">
      <formula>"Error in data"</formula>
    </cfRule>
  </conditionalFormatting>
  <conditionalFormatting sqref="V4:V7">
    <cfRule type="cellIs" dxfId="10" priority="20" operator="lessThan">
      <formula>R4</formula>
    </cfRule>
  </conditionalFormatting>
  <dataValidations count="8">
    <dataValidation type="textLength" errorStyle="warning" allowBlank="1" showInputMessage="1" showErrorMessage="1" errorTitle="Line ID is too long" error="Line ID can consist of max. 30 characters. Adjust before proceeding." sqref="F1:F3 G2:H2 Y9:AL9 F9:V9" xr:uid="{00000000-0002-0000-0200-000001000000}">
      <formula1>0</formula1>
      <formula2>30</formula2>
    </dataValidation>
    <dataValidation type="textLength" errorStyle="warning" allowBlank="1" showInputMessage="1" showErrorMessage="1" errorTitle="T4 TSI is too long" error="T4 TSI can consist of max. 10 characters. Adjust before proceeding." sqref="F8 E1:E3" xr:uid="{00000000-0002-0000-0200-000002000000}">
      <formula1>0</formula1>
      <formula2>10</formula2>
    </dataValidation>
    <dataValidation type="textLength" errorStyle="warning" allowBlank="1" showInputMessage="1" showErrorMessage="1" errorTitle="Area name is too long" error="Area can consist of max. 30 characters. Adjust before proceeding." sqref="A8:A1048576 A1:A3" xr:uid="{00000000-0002-0000-0200-000003000000}">
      <formula1>0</formula1>
      <formula2>30</formula2>
    </dataValidation>
    <dataValidation type="textLength" errorStyle="information" allowBlank="1" showInputMessage="1" showErrorMessage="1" errorTitle=" T4 TSI is too long." error="T4 TSI can consist of max. 10 characters and needs to be adjusted before importing. Continue?" sqref="E9 E4:E7" xr:uid="{00000000-0002-0000-0200-000004000000}">
      <formula1>0</formula1>
      <formula2>10</formula2>
    </dataValidation>
    <dataValidation type="list" allowBlank="1" showInputMessage="1" sqref="W4:W7" xr:uid="{00000000-0002-0000-0200-000005000000}">
      <formula1>"Fill In,CPVC-PN16,CPVC-PN25,CPVC-S40,CS-DN,CS-S40,CS-S80,CUPIPE,CUTUBE,CUTUBE-EN,DIP,FRP-DN,FRP-S40,FRP-S80,PB-DN,PE,PE-DN,PE-S40,PE-SDR11,PEX,PEX-DN,PVC,PVC-DN,PVC-S40,SS-DN,SS-S10,SS-S40,TC-DN,TC-IPS"</formula1>
    </dataValidation>
    <dataValidation type="list" allowBlank="1" showInputMessage="1" showErrorMessage="1" sqref="Z4:Z7" xr:uid="{00000000-0002-0000-0200-000006000000}">
      <formula1>"Outdoor,Indoor,"</formula1>
    </dataValidation>
    <dataValidation type="textLength" errorStyle="warning" showInputMessage="1" errorTitle="Area name is too long" error="Area can consist of max. 30 characters. Adjust before proceeding." sqref="A4:A7" xr:uid="{00000000-0002-0000-0200-000007000000}">
      <formula1>0</formula1>
      <formula2>30</formula2>
    </dataValidation>
    <dataValidation type="textLength" errorStyle="warning" allowBlank="1" showInputMessage="1" errorTitle="Line ID is too long" error="Line ID can consist of max. 30 characters. Adjust before proceeding." sqref="F4:F7" xr:uid="{00000000-0002-0000-0200-000008000000}">
      <formula1>0</formula1>
      <formula2>30</formula2>
    </dataValidation>
  </dataValidations>
  <printOptions gridLines="1" gridLinesSet="0"/>
  <pageMargins left="0.75" right="0.75" top="1" bottom="1" header="0.5" footer="0.5"/>
  <pageSetup paperSize="9" scale="67" fitToHeight="0" orientation="landscape" horizontalDpi="4294967292" r:id="rId1"/>
  <headerFooter alignWithMargins="0">
    <oddHeader>&amp;L&amp;"Arial,Bold Italic"&amp;20Tyco Raychem&amp;CJIT INPUTSHEET
including example data&amp;RPrinted: &amp;F  &amp;A
wpw</oddHeader>
    <oddFooter>&amp;CPage &amp;P of &amp;N&amp;RFilename: &amp;F
Tab: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Additions.InsertNumRows">
                <anchor moveWithCells="1" sizeWithCells="1">
                  <from>
                    <xdr:col>2</xdr:col>
                    <xdr:colOff>38100</xdr:colOff>
                    <xdr:row>0</xdr:row>
                    <xdr:rowOff>190500</xdr:rowOff>
                  </from>
                  <to>
                    <xdr:col>2</xdr:col>
                    <xdr:colOff>1211580</xdr:colOff>
                    <xdr:row>0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5" name="Button 19">
              <controlPr defaultSize="0" print="0" autoFill="0" autoPict="0" macro="[0]!UnprotectSheet">
                <anchor moveWithCells="1" sizeWithCells="1">
                  <from>
                    <xdr:col>1</xdr:col>
                    <xdr:colOff>15240</xdr:colOff>
                    <xdr:row>0</xdr:row>
                    <xdr:rowOff>190500</xdr:rowOff>
                  </from>
                  <to>
                    <xdr:col>1</xdr:col>
                    <xdr:colOff>1226820</xdr:colOff>
                    <xdr:row>0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Import">
                <anchor moveWithCells="1" sizeWithCells="1">
                  <from>
                    <xdr:col>5</xdr:col>
                    <xdr:colOff>15240</xdr:colOff>
                    <xdr:row>0</xdr:row>
                    <xdr:rowOff>190500</xdr:rowOff>
                  </from>
                  <to>
                    <xdr:col>5</xdr:col>
                    <xdr:colOff>1943100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4" id="{61BA02D7-EB3A-4985-BE8E-D09F3530A85B}">
            <xm:f>NOT(OR(Y4='Data Input'!$E$3:$E$42))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Y4:Y7</xm:sqref>
        </x14:conditionalFormatting>
        <x14:conditionalFormatting xmlns:xm="http://schemas.microsoft.com/office/excel/2006/main">
          <x14:cfRule type="expression" priority="325" id="{FCA5EAA3-E095-4548-8FFC-7904E816A7DC}">
            <xm:f>NOT(OR(W4='Data Input'!$A$1:$A$30))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W4:W7</xm:sqref>
        </x14:conditionalFormatting>
        <x14:conditionalFormatting xmlns:xm="http://schemas.microsoft.com/office/excel/2006/main">
          <x14:cfRule type="expression" priority="326" id="{C401280A-3D6F-4900-986B-FEB9361FF98B}">
            <xm:f>NOT(OR(X4='Data Input'!$C$1:$C$20))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X4:X7 BR4:BR7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3101002-F858-453F-8ADE-A875902C1E15}">
          <x14:formula1>
            <xm:f>'Data Input'!$C$2:$C$20</xm:f>
          </x14:formula1>
          <xm:sqref>X4:X7 BR4:BR7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G42"/>
  <sheetViews>
    <sheetView workbookViewId="0">
      <selection activeCell="C21" sqref="C21"/>
    </sheetView>
  </sheetViews>
  <sheetFormatPr defaultRowHeight="13.2" x14ac:dyDescent="0.25"/>
  <cols>
    <col min="1" max="1" width="11.5546875" bestFit="1" customWidth="1"/>
    <col min="3" max="3" width="15.33203125" bestFit="1" customWidth="1"/>
    <col min="5" max="5" width="11" bestFit="1" customWidth="1"/>
    <col min="6" max="6" width="35.33203125" bestFit="1" customWidth="1"/>
    <col min="7" max="7" width="12.44140625" bestFit="1" customWidth="1"/>
    <col min="9" max="9" width="12.44140625" bestFit="1" customWidth="1"/>
  </cols>
  <sheetData>
    <row r="1" spans="1:7" x14ac:dyDescent="0.25">
      <c r="A1" s="29" t="s">
        <v>104</v>
      </c>
      <c r="C1" s="29" t="s">
        <v>105</v>
      </c>
      <c r="E1" s="29" t="s">
        <v>106</v>
      </c>
    </row>
    <row r="2" spans="1:7" x14ac:dyDescent="0.25">
      <c r="A2" t="s">
        <v>84</v>
      </c>
      <c r="C2" t="s">
        <v>84</v>
      </c>
      <c r="E2" s="29"/>
    </row>
    <row r="3" spans="1:7" x14ac:dyDescent="0.25">
      <c r="A3" t="s">
        <v>58</v>
      </c>
      <c r="C3" t="s">
        <v>85</v>
      </c>
      <c r="E3">
        <v>5</v>
      </c>
    </row>
    <row r="4" spans="1:7" x14ac:dyDescent="0.25">
      <c r="A4" t="s">
        <v>59</v>
      </c>
      <c r="C4" t="s">
        <v>86</v>
      </c>
      <c r="E4">
        <v>10</v>
      </c>
    </row>
    <row r="5" spans="1:7" x14ac:dyDescent="0.25">
      <c r="A5" t="s">
        <v>60</v>
      </c>
      <c r="C5" t="s">
        <v>87</v>
      </c>
      <c r="E5">
        <v>15</v>
      </c>
    </row>
    <row r="6" spans="1:7" x14ac:dyDescent="0.25">
      <c r="A6" t="s">
        <v>61</v>
      </c>
      <c r="C6" t="s">
        <v>88</v>
      </c>
      <c r="E6">
        <v>20</v>
      </c>
    </row>
    <row r="7" spans="1:7" x14ac:dyDescent="0.25">
      <c r="A7" t="s">
        <v>57</v>
      </c>
      <c r="C7" t="s">
        <v>89</v>
      </c>
      <c r="E7">
        <v>25</v>
      </c>
    </row>
    <row r="8" spans="1:7" x14ac:dyDescent="0.25">
      <c r="A8" t="s">
        <v>62</v>
      </c>
      <c r="C8" t="s">
        <v>90</v>
      </c>
      <c r="E8">
        <v>30</v>
      </c>
    </row>
    <row r="9" spans="1:7" x14ac:dyDescent="0.25">
      <c r="A9" t="s">
        <v>63</v>
      </c>
      <c r="C9" t="s">
        <v>91</v>
      </c>
      <c r="E9">
        <v>35</v>
      </c>
    </row>
    <row r="10" spans="1:7" x14ac:dyDescent="0.25">
      <c r="A10" t="s">
        <v>64</v>
      </c>
      <c r="C10" t="s">
        <v>92</v>
      </c>
      <c r="E10">
        <v>40</v>
      </c>
    </row>
    <row r="11" spans="1:7" x14ac:dyDescent="0.25">
      <c r="A11" t="s">
        <v>65</v>
      </c>
      <c r="C11" t="s">
        <v>93</v>
      </c>
      <c r="E11">
        <v>45</v>
      </c>
    </row>
    <row r="12" spans="1:7" x14ac:dyDescent="0.25">
      <c r="A12" t="s">
        <v>66</v>
      </c>
      <c r="C12" t="s">
        <v>94</v>
      </c>
      <c r="E12">
        <v>50</v>
      </c>
      <c r="G12" s="30"/>
    </row>
    <row r="13" spans="1:7" x14ac:dyDescent="0.25">
      <c r="A13" t="s">
        <v>67</v>
      </c>
      <c r="C13" t="s">
        <v>95</v>
      </c>
      <c r="E13">
        <v>55</v>
      </c>
    </row>
    <row r="14" spans="1:7" x14ac:dyDescent="0.25">
      <c r="A14" t="s">
        <v>68</v>
      </c>
      <c r="C14" t="s">
        <v>96</v>
      </c>
      <c r="E14">
        <v>60</v>
      </c>
    </row>
    <row r="15" spans="1:7" x14ac:dyDescent="0.25">
      <c r="A15" t="s">
        <v>69</v>
      </c>
      <c r="C15" t="s">
        <v>97</v>
      </c>
      <c r="E15">
        <v>65</v>
      </c>
    </row>
    <row r="16" spans="1:7" x14ac:dyDescent="0.25">
      <c r="A16" t="s">
        <v>70</v>
      </c>
      <c r="C16" t="s">
        <v>98</v>
      </c>
      <c r="E16">
        <v>70</v>
      </c>
    </row>
    <row r="17" spans="1:6" x14ac:dyDescent="0.25">
      <c r="A17" t="s">
        <v>71</v>
      </c>
      <c r="C17" t="s">
        <v>99</v>
      </c>
      <c r="E17">
        <v>75</v>
      </c>
      <c r="F17" s="29"/>
    </row>
    <row r="18" spans="1:6" x14ac:dyDescent="0.25">
      <c r="A18" t="s">
        <v>72</v>
      </c>
      <c r="C18" t="s">
        <v>100</v>
      </c>
      <c r="E18">
        <v>80</v>
      </c>
    </row>
    <row r="19" spans="1:6" x14ac:dyDescent="0.25">
      <c r="A19" t="s">
        <v>73</v>
      </c>
      <c r="C19" s="29" t="s">
        <v>294</v>
      </c>
      <c r="D19" s="29"/>
      <c r="E19">
        <v>85</v>
      </c>
    </row>
    <row r="20" spans="1:6" x14ac:dyDescent="0.25">
      <c r="A20" t="s">
        <v>74</v>
      </c>
      <c r="C20" s="78" t="s">
        <v>295</v>
      </c>
      <c r="E20">
        <v>90</v>
      </c>
    </row>
    <row r="21" spans="1:6" x14ac:dyDescent="0.25">
      <c r="A21" t="s">
        <v>75</v>
      </c>
      <c r="E21">
        <v>95</v>
      </c>
    </row>
    <row r="22" spans="1:6" x14ac:dyDescent="0.25">
      <c r="A22" t="s">
        <v>76</v>
      </c>
      <c r="E22">
        <v>100</v>
      </c>
    </row>
    <row r="23" spans="1:6" x14ac:dyDescent="0.25">
      <c r="A23" t="s">
        <v>56</v>
      </c>
      <c r="E23">
        <v>105</v>
      </c>
    </row>
    <row r="24" spans="1:6" x14ac:dyDescent="0.25">
      <c r="A24" t="s">
        <v>77</v>
      </c>
      <c r="E24">
        <v>110</v>
      </c>
    </row>
    <row r="25" spans="1:6" x14ac:dyDescent="0.25">
      <c r="A25" t="s">
        <v>78</v>
      </c>
      <c r="E25">
        <v>115</v>
      </c>
    </row>
    <row r="26" spans="1:6" x14ac:dyDescent="0.25">
      <c r="A26" t="s">
        <v>79</v>
      </c>
      <c r="E26">
        <v>120</v>
      </c>
    </row>
    <row r="27" spans="1:6" x14ac:dyDescent="0.25">
      <c r="A27" t="s">
        <v>80</v>
      </c>
      <c r="E27">
        <v>125</v>
      </c>
    </row>
    <row r="28" spans="1:6" x14ac:dyDescent="0.25">
      <c r="A28" t="s">
        <v>81</v>
      </c>
      <c r="E28">
        <v>130</v>
      </c>
    </row>
    <row r="29" spans="1:6" x14ac:dyDescent="0.25">
      <c r="A29" t="s">
        <v>82</v>
      </c>
      <c r="E29">
        <v>135</v>
      </c>
      <c r="F29" s="29"/>
    </row>
    <row r="30" spans="1:6" x14ac:dyDescent="0.25">
      <c r="A30" t="s">
        <v>83</v>
      </c>
      <c r="E30">
        <v>140</v>
      </c>
      <c r="F30" s="29"/>
    </row>
    <row r="31" spans="1:6" x14ac:dyDescent="0.25">
      <c r="E31">
        <v>145</v>
      </c>
    </row>
    <row r="32" spans="1:6" x14ac:dyDescent="0.25">
      <c r="E32">
        <v>150</v>
      </c>
    </row>
    <row r="33" spans="5:5" x14ac:dyDescent="0.25">
      <c r="E33">
        <v>155</v>
      </c>
    </row>
    <row r="34" spans="5:5" x14ac:dyDescent="0.25">
      <c r="E34">
        <v>160</v>
      </c>
    </row>
    <row r="35" spans="5:5" x14ac:dyDescent="0.25">
      <c r="E35">
        <v>165</v>
      </c>
    </row>
    <row r="36" spans="5:5" x14ac:dyDescent="0.25">
      <c r="E36">
        <v>170</v>
      </c>
    </row>
    <row r="37" spans="5:5" x14ac:dyDescent="0.25">
      <c r="E37">
        <v>175</v>
      </c>
    </row>
    <row r="38" spans="5:5" x14ac:dyDescent="0.25">
      <c r="E38">
        <v>180</v>
      </c>
    </row>
    <row r="39" spans="5:5" x14ac:dyDescent="0.25">
      <c r="E39">
        <v>185</v>
      </c>
    </row>
    <row r="40" spans="5:5" x14ac:dyDescent="0.25">
      <c r="E40">
        <v>190</v>
      </c>
    </row>
    <row r="41" spans="5:5" x14ac:dyDescent="0.25">
      <c r="E41">
        <v>195</v>
      </c>
    </row>
    <row r="42" spans="5:5" x14ac:dyDescent="0.25">
      <c r="E42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50"/>
  </sheetPr>
  <dimension ref="A1:E1500"/>
  <sheetViews>
    <sheetView zoomScale="115" zoomScaleNormal="115" workbookViewId="0">
      <selection activeCell="B21" sqref="B21"/>
    </sheetView>
  </sheetViews>
  <sheetFormatPr defaultColWidth="9.109375" defaultRowHeight="13.2" x14ac:dyDescent="0.25"/>
  <cols>
    <col min="1" max="1" width="25.88671875" style="42" bestFit="1" customWidth="1"/>
    <col min="2" max="2" width="77.5546875" style="42" customWidth="1"/>
    <col min="3" max="3" width="25.88671875" style="42" customWidth="1"/>
    <col min="4" max="4" width="9.109375" style="42"/>
    <col min="5" max="5" width="23.44140625" style="42" bestFit="1" customWidth="1"/>
    <col min="6" max="16384" width="9.109375" style="42"/>
  </cols>
  <sheetData>
    <row r="1" spans="1:5" x14ac:dyDescent="0.25">
      <c r="A1" s="40" t="s">
        <v>43</v>
      </c>
      <c r="B1" s="41" t="s">
        <v>109</v>
      </c>
    </row>
    <row r="2" spans="1:5" x14ac:dyDescent="0.25">
      <c r="B2" s="41"/>
      <c r="E2" s="43"/>
    </row>
    <row r="3" spans="1:5" ht="14.25" customHeight="1" x14ac:dyDescent="0.25">
      <c r="A3" s="43" t="s">
        <v>44</v>
      </c>
      <c r="B3" s="46" t="s">
        <v>114</v>
      </c>
      <c r="E3" s="43"/>
    </row>
    <row r="4" spans="1:5" ht="14.25" customHeight="1" x14ac:dyDescent="0.25">
      <c r="A4" s="43" t="s">
        <v>102</v>
      </c>
      <c r="B4" s="46" t="s">
        <v>284</v>
      </c>
    </row>
    <row r="5" spans="1:5" x14ac:dyDescent="0.25">
      <c r="B5" s="44"/>
    </row>
    <row r="6" spans="1:5" x14ac:dyDescent="0.25">
      <c r="A6" s="42" t="s">
        <v>45</v>
      </c>
      <c r="B6" s="46" t="s">
        <v>344</v>
      </c>
    </row>
    <row r="7" spans="1:5" hidden="1" x14ac:dyDescent="0.25">
      <c r="A7" s="42" t="s">
        <v>46</v>
      </c>
      <c r="B7" s="45">
        <v>4</v>
      </c>
    </row>
    <row r="9" spans="1:5" ht="12.75" customHeight="1" x14ac:dyDescent="0.25"/>
    <row r="10" spans="1:5" ht="14.25" customHeight="1" x14ac:dyDescent="0.25"/>
    <row r="13" spans="1:5" x14ac:dyDescent="0.25">
      <c r="B13" s="43"/>
    </row>
    <row r="14" spans="1:5" x14ac:dyDescent="0.25">
      <c r="B14" s="53"/>
      <c r="C14" s="53"/>
    </row>
    <row r="15" spans="1:5" x14ac:dyDescent="0.25">
      <c r="B15" s="53"/>
      <c r="C15" s="53"/>
    </row>
    <row r="16" spans="1:5" x14ac:dyDescent="0.25">
      <c r="B16" s="53" t="str">
        <f>"Total Rows to import: "&amp;ROWS(LineNumbers)</f>
        <v>Total Rows to import: 4</v>
      </c>
      <c r="C16" s="54" t="str">
        <f>RIGHT(B16,2)</f>
        <v xml:space="preserve"> 4</v>
      </c>
    </row>
    <row r="17" spans="2:3" x14ac:dyDescent="0.25">
      <c r="B17" s="53" t="str">
        <f>IFERROR("Total Rows imported: "&amp;C18,"Total Rows Imported: ")</f>
        <v>Total Rows imported: 4</v>
      </c>
      <c r="C17" s="54" t="str">
        <f>RIGHT(B17,2)</f>
        <v xml:space="preserve"> 4</v>
      </c>
    </row>
    <row r="18" spans="2:3" x14ac:dyDescent="0.25">
      <c r="B18" s="53"/>
      <c r="C18" s="54">
        <f>COUNTA(ImportedRows)</f>
        <v>4</v>
      </c>
    </row>
    <row r="19" spans="2:3" x14ac:dyDescent="0.25">
      <c r="B19" s="53"/>
      <c r="C19" s="55">
        <v>1</v>
      </c>
    </row>
    <row r="1500" spans="1:1" x14ac:dyDescent="0.25">
      <c r="A1500" s="42">
        <v>0</v>
      </c>
    </row>
  </sheetData>
  <sheetProtection formatColumns="0" formatRows="0" autoFilter="0"/>
  <phoneticPr fontId="3" type="noConversion"/>
  <conditionalFormatting sqref="B6">
    <cfRule type="expression" dxfId="6" priority="5">
      <formula>"No file was selected. Filepath not set."</formula>
    </cfRule>
  </conditionalFormatting>
  <conditionalFormatting sqref="B3:B4">
    <cfRule type="expression" dxfId="5" priority="4">
      <formula>"No file was selected. Filepath not set."</formula>
    </cfRule>
  </conditionalFormatting>
  <conditionalFormatting sqref="B17">
    <cfRule type="expression" dxfId="4" priority="1">
      <formula>$C$16&lt;&gt;$C$17</formula>
    </cfRule>
    <cfRule type="expression" dxfId="3" priority="2">
      <formula>$C$16=$C$17</formula>
    </cfRule>
  </conditionalFormatting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Import">
          <controlPr defaultSize="0" autoLine="0" r:id="rId5">
            <anchor moveWithCells="1">
              <from>
                <xdr:col>1</xdr:col>
                <xdr:colOff>0</xdr:colOff>
                <xdr:row>11</xdr:row>
                <xdr:rowOff>160020</xdr:rowOff>
              </from>
              <to>
                <xdr:col>2</xdr:col>
                <xdr:colOff>15240</xdr:colOff>
                <xdr:row>14</xdr:row>
                <xdr:rowOff>0</xdr:rowOff>
              </to>
            </anchor>
          </controlPr>
        </control>
      </mc:Choice>
      <mc:Fallback>
        <control shapeId="1025" r:id="rId4" name="cmdImport"/>
      </mc:Fallback>
    </mc:AlternateContent>
    <mc:AlternateContent xmlns:mc="http://schemas.openxmlformats.org/markup-compatibility/2006">
      <mc:Choice Requires="x14">
        <control shapeId="1035" r:id="rId6" name="OptionButton1">
          <controlPr defaultSize="0" autoLine="0" autoPict="0" r:id="rId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7620</xdr:colOff>
                <xdr:row>10</xdr:row>
                <xdr:rowOff>60960</xdr:rowOff>
              </to>
            </anchor>
          </controlPr>
        </control>
      </mc:Choice>
      <mc:Fallback>
        <control shapeId="1035" r:id="rId6" name="OptionButton1"/>
      </mc:Fallback>
    </mc:AlternateContent>
    <mc:AlternateContent xmlns:mc="http://schemas.openxmlformats.org/markup-compatibility/2006">
      <mc:Choice Requires="x14">
        <control shapeId="1036" r:id="rId8" name="OptionButton2">
          <controlPr defaultSize="0" autoLine="0" r:id="rId9">
            <anchor moveWithCells="1">
              <from>
                <xdr:col>1</xdr:col>
                <xdr:colOff>0</xdr:colOff>
                <xdr:row>9</xdr:row>
                <xdr:rowOff>121920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36" r:id="rId8" name="OptionButton2"/>
      </mc:Fallback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et_TraceCalc_Pro_exe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et_PTM_Standard_RDB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GetTCProProjectFilepath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160020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287DF-AAE5-4381-81B6-BEC1B34A626E}">
  <sheetPr codeName="Sheet9"/>
  <dimension ref="A1:AG23"/>
  <sheetViews>
    <sheetView topLeftCell="S1" workbookViewId="0">
      <selection activeCell="AG2" sqref="AG2"/>
    </sheetView>
  </sheetViews>
  <sheetFormatPr defaultRowHeight="14.4" x14ac:dyDescent="0.3"/>
  <cols>
    <col min="1" max="1" width="26.33203125" style="60" bestFit="1" customWidth="1"/>
    <col min="2" max="3" width="8.88671875" style="60"/>
    <col min="4" max="4" width="15.33203125" style="60" bestFit="1" customWidth="1"/>
    <col min="5" max="11" width="8.88671875" style="60"/>
    <col min="12" max="12" width="14.33203125" style="77" customWidth="1"/>
    <col min="13" max="13" width="13.88671875" style="60" bestFit="1" customWidth="1"/>
    <col min="14" max="14" width="18" style="60" bestFit="1" customWidth="1"/>
    <col min="16" max="16" width="10.88671875" style="60" bestFit="1" customWidth="1"/>
    <col min="17" max="17" width="8.88671875" style="60"/>
    <col min="18" max="18" width="10.77734375" style="60" customWidth="1"/>
    <col min="19" max="19" width="8.88671875" style="60"/>
    <col min="20" max="20" width="11.33203125" style="60" bestFit="1" customWidth="1"/>
    <col min="21" max="21" width="13.33203125" style="77" bestFit="1" customWidth="1"/>
    <col min="22" max="22" width="13.6640625" style="77" bestFit="1" customWidth="1"/>
    <col min="23" max="23" width="19" style="77" bestFit="1" customWidth="1"/>
    <col min="24" max="24" width="19.77734375" style="77" bestFit="1" customWidth="1"/>
    <col min="25" max="26" width="8.88671875" style="60"/>
    <col min="27" max="27" width="18.77734375" style="60" bestFit="1" customWidth="1"/>
    <col min="28" max="28" width="17.44140625" style="60" bestFit="1" customWidth="1"/>
    <col min="29" max="29" width="12.21875" style="60" bestFit="1" customWidth="1"/>
    <col min="30" max="30" width="10.88671875" style="60" bestFit="1" customWidth="1"/>
    <col min="31" max="31" width="8.88671875" style="60"/>
    <col min="32" max="32" width="10.33203125" style="60" bestFit="1" customWidth="1"/>
    <col min="33" max="16384" width="8.88671875" style="60"/>
  </cols>
  <sheetData>
    <row r="1" spans="1:33" x14ac:dyDescent="0.3">
      <c r="A1" s="61" t="s">
        <v>266</v>
      </c>
      <c r="B1" s="62">
        <v>0</v>
      </c>
      <c r="C1" s="60">
        <v>2</v>
      </c>
      <c r="D1" s="60" t="s">
        <v>289</v>
      </c>
      <c r="E1" s="60" t="s">
        <v>144</v>
      </c>
      <c r="F1" s="60" t="s">
        <v>145</v>
      </c>
      <c r="G1" s="60" t="s">
        <v>17</v>
      </c>
      <c r="H1" s="60" t="s">
        <v>163</v>
      </c>
      <c r="I1" s="60" t="s">
        <v>164</v>
      </c>
      <c r="J1" s="60" t="s">
        <v>165</v>
      </c>
      <c r="K1" s="60" t="s">
        <v>166</v>
      </c>
      <c r="L1" s="77" t="s">
        <v>272</v>
      </c>
      <c r="M1" s="60" t="s">
        <v>285</v>
      </c>
      <c r="N1" s="60" t="s">
        <v>286</v>
      </c>
      <c r="O1" s="77" t="s">
        <v>287</v>
      </c>
      <c r="P1" s="60" t="s">
        <v>273</v>
      </c>
      <c r="Q1" s="60" t="s">
        <v>288</v>
      </c>
      <c r="R1" s="60" t="s">
        <v>290</v>
      </c>
      <c r="S1" s="60" t="s">
        <v>292</v>
      </c>
      <c r="T1" s="60" t="s">
        <v>296</v>
      </c>
      <c r="U1" s="77" t="s">
        <v>300</v>
      </c>
      <c r="V1" s="77" t="s">
        <v>301</v>
      </c>
      <c r="W1" s="77" t="s">
        <v>302</v>
      </c>
      <c r="X1" s="77" t="s">
        <v>303</v>
      </c>
      <c r="Y1" s="60" t="s">
        <v>315</v>
      </c>
      <c r="Z1" s="60" t="s">
        <v>216</v>
      </c>
      <c r="AA1" t="s">
        <v>323</v>
      </c>
      <c r="AB1" t="s">
        <v>324</v>
      </c>
      <c r="AC1" t="s">
        <v>321</v>
      </c>
      <c r="AD1" s="60" t="s">
        <v>322</v>
      </c>
      <c r="AE1" s="60" t="s">
        <v>325</v>
      </c>
      <c r="AF1" s="60" t="s">
        <v>345</v>
      </c>
      <c r="AG1" s="60" t="s">
        <v>346</v>
      </c>
    </row>
    <row r="2" spans="1:33" x14ac:dyDescent="0.3">
      <c r="A2" s="63" t="s">
        <v>274</v>
      </c>
      <c r="B2" s="64">
        <v>7</v>
      </c>
      <c r="D2" s="60">
        <f>ROW()-1</f>
        <v>1</v>
      </c>
      <c r="E2" s="60" cm="1">
        <f t="array" ref="E2">_xlfn.XLOOKUP(VALUE(TechPipeData!AT2),VALUE(TechData!A:A),TechData!M:M)</f>
        <v>-52</v>
      </c>
      <c r="F2" s="60" cm="1">
        <f t="array" ref="F2">_xlfn.XLOOKUP(VALUE(TechPipeData!AT2),VALUE(TechData!A:A),TechData!N:N)</f>
        <v>30</v>
      </c>
      <c r="G2" s="60" t="str" cm="1">
        <f t="array" ref="G2">_xlfn.XLOOKUP(VALUE(TechPipeData!AT2),VALUE(TechData!A:A),TechData!T:T)</f>
        <v>Zone 2</v>
      </c>
      <c r="H2" s="60" cm="1">
        <f t="array" ref="H2">_xlfn.XLOOKUP(VALUE(TechPipeData!AT2),VALUE(TechData!A:A),TechData!AG:AG)</f>
        <v>0</v>
      </c>
      <c r="I2" s="60" cm="1">
        <f t="array" ref="I2">_xlfn.XLOOKUP(VALUE(TechPipeData!AT2),VALUE(TechData!A:A),TechData!AH:AH)</f>
        <v>0</v>
      </c>
      <c r="J2" s="60" cm="1">
        <f t="array" ref="J2">_xlfn.XLOOKUP(VALUE(TechPipeData!AT2),VALUE(TechData!A:A),TechData!AI:AI)</f>
        <v>0</v>
      </c>
      <c r="K2" s="60" cm="1">
        <f t="array" ref="K2">_xlfn.XLOOKUP(VALUE(TechPipeData!AT2),VALUE(TechData!A:A),TechData!AJ:AJ)</f>
        <v>0</v>
      </c>
      <c r="L2" s="77">
        <f>_xlfn.XLOOKUP(TechPipeData!E2,Hide!$A$1:$A$11,Hide!$B$1:$B$11)</f>
        <v>0</v>
      </c>
      <c r="M2" s="70">
        <f>Tree!E2</f>
        <v>0</v>
      </c>
      <c r="N2" s="70">
        <f>M2</f>
        <v>0</v>
      </c>
      <c r="O2">
        <f>IF(L2=0,0,1)</f>
        <v>0</v>
      </c>
      <c r="P2" s="70">
        <v>1633</v>
      </c>
      <c r="Q2" s="60">
        <f>TechPipeData!P2+TechPipeData!Q2</f>
        <v>0</v>
      </c>
      <c r="R2" s="60">
        <f>TechPipeData!BK2</f>
        <v>0</v>
      </c>
      <c r="S2" s="60">
        <f>SUM(TechPipeData!X2:AB2)+TechPipeData!BK2</f>
        <v>0</v>
      </c>
      <c r="T2" s="60" t="b">
        <f>IF(TechPipeData!BP2&lt;&gt;0,TRUE,FALSE)</f>
        <v>1</v>
      </c>
      <c r="U2" s="77" t="b">
        <f>IF(TechPipeData!CX2="Control Limited",TRUE,FALSE)</f>
        <v>0</v>
      </c>
      <c r="V2" s="77">
        <f>IF(LEFT(TechPipeData!BE2,4)="line",3,2)</f>
        <v>2</v>
      </c>
      <c r="W2" s="77">
        <f>IF(TechPipeData!V2="True",2,0)</f>
        <v>0</v>
      </c>
      <c r="X2" s="77">
        <f>IF(W2=2,P2,0)</f>
        <v>0</v>
      </c>
      <c r="Y2" s="60">
        <f>TechPipeData!BL2*0.01</f>
        <v>0.1</v>
      </c>
      <c r="Z2" s="60">
        <f>IF(TechPipeData!AW2="Single Phase ( L - N )",0,IF(TechPipeData!AW2="Single Phase ( L - L )",1,IF(TechPipeData!AW2="3 Phase, WYE ( Star )",2,3)))</f>
        <v>0</v>
      </c>
      <c r="AA2" s="60" t="b">
        <f>IF(TechPipeData!BC2="Parallel Heating Cables",TRUE,"")</f>
        <v>1</v>
      </c>
      <c r="AB2" s="60" t="b">
        <f>IF(TechPipeData!BC2="Parallel Heating Cables",TRUE,"")</f>
        <v>1</v>
      </c>
      <c r="AC2" s="60" t="str">
        <f>IFERROR(IF(TechPipeData!BC2="Parallel Heating Cables",IF(FIND("BTV",TechPipeData!CE2)&lt;&gt;0,"BTV",
IF(FIND("QTV",TechPipeData!CE2)&lt;&gt;0,"QTV",
IF(FIND("XTV",TechPipeData!CE2)&lt;&gt;0,"XTV",
IF(FIND("HTV",TechPipeData!CE2)&lt;&gt;0,"HTV",
IF(FIND("VPL",TechPipeData!CE2)&lt;&gt;0,"VPL",
IF(FIND("KTV",TechPipeData!CE2)&lt;&gt;0,"KTV","")))))),""),"")</f>
        <v>BTV</v>
      </c>
      <c r="AD2" s="60" t="str">
        <f>IF(TechPipeData!BC2="Parallel Heating Cables",TechPipeData!CE2,"")</f>
        <v>5BTV2-CT</v>
      </c>
      <c r="AE2" s="60">
        <f>IF(TechPipeData!BC2="Parallel Heating Cables",0,"")</f>
        <v>0</v>
      </c>
      <c r="AF2" s="60">
        <f>TechPipeData!I2*(1+TechPipeData!H2*0.01)</f>
        <v>0.22220000000000001</v>
      </c>
      <c r="AG2" s="60">
        <f>TechPipeData!I2+TechPipeData!CT2</f>
        <v>0.22</v>
      </c>
    </row>
    <row r="3" spans="1:33" x14ac:dyDescent="0.3">
      <c r="A3" s="66" t="s">
        <v>275</v>
      </c>
      <c r="B3" s="62">
        <v>12</v>
      </c>
      <c r="M3" s="70"/>
      <c r="N3" s="70"/>
      <c r="P3" s="70"/>
      <c r="AF3"/>
    </row>
    <row r="4" spans="1:33" x14ac:dyDescent="0.3">
      <c r="A4" s="60" t="s">
        <v>276</v>
      </c>
      <c r="B4" s="64">
        <v>11</v>
      </c>
      <c r="M4" s="70"/>
      <c r="N4" s="70"/>
      <c r="P4" s="70"/>
      <c r="AF4"/>
    </row>
    <row r="5" spans="1:33" x14ac:dyDescent="0.3">
      <c r="A5" s="61" t="s">
        <v>313</v>
      </c>
      <c r="B5" s="62">
        <v>10</v>
      </c>
      <c r="M5" s="70"/>
      <c r="N5" s="70"/>
      <c r="P5" s="70"/>
      <c r="AF5"/>
    </row>
    <row r="6" spans="1:33" x14ac:dyDescent="0.3">
      <c r="A6" s="67" t="s">
        <v>277</v>
      </c>
      <c r="B6" s="64">
        <v>1</v>
      </c>
      <c r="M6" s="70"/>
      <c r="N6" s="70"/>
      <c r="P6" s="70"/>
      <c r="AF6"/>
    </row>
    <row r="7" spans="1:33" x14ac:dyDescent="0.3">
      <c r="A7" s="61" t="s">
        <v>278</v>
      </c>
      <c r="B7" s="62">
        <v>2</v>
      </c>
      <c r="M7" s="70"/>
      <c r="N7" s="70"/>
      <c r="P7" s="70"/>
      <c r="AF7"/>
    </row>
    <row r="8" spans="1:33" x14ac:dyDescent="0.3">
      <c r="A8" s="60" t="s">
        <v>279</v>
      </c>
      <c r="B8" s="64">
        <v>4</v>
      </c>
      <c r="M8" s="70"/>
      <c r="N8" s="70"/>
      <c r="P8" s="70"/>
      <c r="AF8"/>
    </row>
    <row r="9" spans="1:33" x14ac:dyDescent="0.3">
      <c r="A9" s="60" t="s">
        <v>280</v>
      </c>
      <c r="B9" s="62">
        <v>3</v>
      </c>
      <c r="M9" s="70"/>
      <c r="N9" s="70"/>
      <c r="P9" s="70"/>
      <c r="AF9"/>
    </row>
    <row r="10" spans="1:33" x14ac:dyDescent="0.3">
      <c r="A10" s="60" t="s">
        <v>281</v>
      </c>
      <c r="B10" s="64">
        <v>5</v>
      </c>
      <c r="M10" s="70"/>
      <c r="N10" s="70"/>
      <c r="P10" s="70"/>
      <c r="AF10"/>
    </row>
    <row r="11" spans="1:33" x14ac:dyDescent="0.3">
      <c r="A11" s="60" t="s">
        <v>282</v>
      </c>
      <c r="B11" s="62">
        <v>6</v>
      </c>
      <c r="M11" s="70"/>
      <c r="N11" s="70"/>
      <c r="P11" s="70"/>
      <c r="AF11"/>
    </row>
    <row r="12" spans="1:33" x14ac:dyDescent="0.3">
      <c r="M12" s="70"/>
      <c r="N12" s="70"/>
      <c r="P12" s="70"/>
      <c r="AF12"/>
    </row>
    <row r="13" spans="1:33" x14ac:dyDescent="0.3">
      <c r="M13" s="70"/>
      <c r="N13" s="70"/>
      <c r="P13" s="70"/>
      <c r="AF13"/>
    </row>
    <row r="14" spans="1:33" x14ac:dyDescent="0.3">
      <c r="M14" s="70"/>
      <c r="N14" s="70"/>
      <c r="P14" s="70"/>
      <c r="AF14"/>
    </row>
    <row r="15" spans="1:33" x14ac:dyDescent="0.3">
      <c r="A15" s="65" t="s">
        <v>283</v>
      </c>
      <c r="M15" s="70"/>
      <c r="N15" s="70"/>
      <c r="P15" s="70"/>
      <c r="AF15"/>
    </row>
    <row r="16" spans="1:33" x14ac:dyDescent="0.3">
      <c r="A16" s="68" t="str">
        <f>'TCPro Import'!B6</f>
        <v>C:\Users\e1234958\Desktop\Test\PBE190200_ArcticLNG2_new.TDB</v>
      </c>
      <c r="M16" s="70"/>
      <c r="N16" s="70"/>
      <c r="P16" s="70"/>
      <c r="AF16"/>
    </row>
    <row r="17" spans="13:32" x14ac:dyDescent="0.3">
      <c r="M17" s="70"/>
      <c r="N17" s="70"/>
      <c r="P17" s="70"/>
      <c r="AF17"/>
    </row>
    <row r="18" spans="13:32" x14ac:dyDescent="0.3">
      <c r="M18" s="70"/>
      <c r="N18" s="70"/>
      <c r="P18" s="70"/>
      <c r="AF18"/>
    </row>
    <row r="19" spans="13:32" x14ac:dyDescent="0.3">
      <c r="M19" s="70"/>
      <c r="N19" s="70"/>
      <c r="P19" s="70"/>
      <c r="AF19"/>
    </row>
    <row r="20" spans="13:32" x14ac:dyDescent="0.3">
      <c r="M20" s="70"/>
      <c r="N20" s="70"/>
      <c r="P20" s="70"/>
      <c r="AF20"/>
    </row>
    <row r="21" spans="13:32" x14ac:dyDescent="0.3">
      <c r="M21" s="70"/>
      <c r="N21" s="70"/>
      <c r="P21" s="70"/>
    </row>
    <row r="22" spans="13:32" x14ac:dyDescent="0.3">
      <c r="M22" s="70"/>
      <c r="N22" s="70"/>
      <c r="P22" s="70"/>
    </row>
    <row r="23" spans="13:32" x14ac:dyDescent="0.3">
      <c r="M23" s="70"/>
      <c r="N23" s="70"/>
      <c r="P23" s="7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12B7F5-6541-4779-A026-EBD1B0D27A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TechData</vt:lpstr>
      <vt:lpstr>TechPipeData</vt:lpstr>
      <vt:lpstr>Tree</vt:lpstr>
      <vt:lpstr>LINELIST</vt:lpstr>
      <vt:lpstr>Data Input</vt:lpstr>
      <vt:lpstr>TCPro Import</vt:lpstr>
      <vt:lpstr>Hide</vt:lpstr>
      <vt:lpstr>ErrorCheckIns.</vt:lpstr>
      <vt:lpstr>ErrorCheckPipe</vt:lpstr>
      <vt:lpstr>FormulaRange</vt:lpstr>
      <vt:lpstr>ImportData</vt:lpstr>
      <vt:lpstr>ImportedRows</vt:lpstr>
      <vt:lpstr>LineNumbers</vt:lpstr>
      <vt:lpstr>PipeLength</vt:lpstr>
      <vt:lpstr>SectionNumbers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Pouw</dc:creator>
  <cp:lastModifiedBy>e1234958</cp:lastModifiedBy>
  <cp:lastPrinted>2017-03-15T10:41:02Z</cp:lastPrinted>
  <dcterms:created xsi:type="dcterms:W3CDTF">1999-09-20T09:17:52Z</dcterms:created>
  <dcterms:modified xsi:type="dcterms:W3CDTF">2022-04-28T14:04:18Z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