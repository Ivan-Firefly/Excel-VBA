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S:\Soft\Excel nVent Tools\"/>
    </mc:Choice>
  </mc:AlternateContent>
  <xr:revisionPtr revIDLastSave="0" documentId="13_ncr:1_{24684F66-5917-4594-8CFF-DB99BD154D04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Input Data" sheetId="1" r:id="rId1"/>
    <sheet name="Impot" sheetId="6" r:id="rId2"/>
    <sheet name="Insulation" sheetId="5" r:id="rId3"/>
    <sheet name="Report ENG" sheetId="3" state="hidden" r:id="rId4"/>
    <sheet name="Sheet2" sheetId="2" state="veryHidden" r:id="rId5"/>
  </sheets>
  <definedNames>
    <definedName name="_xlnm.Print_Area" localSheetId="3">'Report ENG'!$A$1:$L$30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1" l="1"/>
  <c r="F7" i="1"/>
  <c r="G6" i="1" l="1"/>
  <c r="H6" i="1" s="1"/>
  <c r="E6" i="1"/>
  <c r="F6" i="1" s="1"/>
  <c r="D16" i="3" l="1"/>
  <c r="B6" i="3" l="1"/>
  <c r="D14" i="3" l="1"/>
  <c r="D13" i="3"/>
  <c r="D11" i="3"/>
  <c r="K10" i="3"/>
  <c r="K9" i="3"/>
  <c r="J10" i="3"/>
  <c r="J9" i="3"/>
  <c r="I10" i="3"/>
  <c r="I9" i="3"/>
  <c r="H10" i="3"/>
  <c r="H9" i="3"/>
  <c r="D9" i="3"/>
  <c r="D8" i="3"/>
  <c r="H2" i="2" l="1"/>
  <c r="C6" i="2" l="1"/>
  <c r="B6" i="2"/>
  <c r="B16" i="2" s="1"/>
  <c r="C5" i="2"/>
  <c r="C4" i="2"/>
  <c r="C3" i="2"/>
  <c r="C2" i="2"/>
  <c r="B2" i="2"/>
  <c r="B3" i="2" s="1"/>
  <c r="B4" i="2" s="1"/>
  <c r="B5" i="2" s="1"/>
  <c r="C1" i="2"/>
  <c r="B17" i="2" l="1"/>
  <c r="B18" i="2" s="1"/>
  <c r="B19" i="2" s="1"/>
  <c r="B20" i="2" s="1"/>
  <c r="B21" i="2" s="1"/>
  <c r="B22" i="2" s="1"/>
  <c r="B23" i="2" s="1"/>
  <c r="B24" i="2" s="1"/>
  <c r="B25" i="2" s="1"/>
  <c r="B26" i="2"/>
  <c r="B7" i="2"/>
  <c r="B8" i="2" s="1"/>
  <c r="B9" i="2" s="1"/>
  <c r="B10" i="2" s="1"/>
  <c r="B11" i="2" s="1"/>
  <c r="B12" i="2" s="1"/>
  <c r="B13" i="2" s="1"/>
  <c r="B14" i="2" s="1"/>
  <c r="B15" i="2" s="1"/>
  <c r="K5" i="1" l="1"/>
  <c r="K4" i="1"/>
  <c r="K8" i="1" l="1"/>
  <c r="K10" i="1"/>
  <c r="G12" i="1"/>
  <c r="H12" i="1"/>
  <c r="G13" i="1"/>
  <c r="H13" i="1"/>
  <c r="K13" i="1"/>
  <c r="B17" i="1"/>
  <c r="B18" i="1"/>
  <c r="B19" i="1"/>
  <c r="B20" i="1"/>
  <c r="B21" i="1"/>
  <c r="B22" i="1"/>
  <c r="B23" i="1"/>
  <c r="B25" i="1"/>
  <c r="B26" i="1"/>
  <c r="B27" i="1"/>
  <c r="B28" i="1"/>
  <c r="B30" i="1"/>
  <c r="B31" i="1"/>
  <c r="J14" i="3"/>
  <c r="K14" i="3"/>
  <c r="J15" i="3"/>
  <c r="K15" i="3"/>
  <c r="D18" i="3"/>
  <c r="D19" i="3"/>
  <c r="D21" i="3"/>
  <c r="D22" i="3"/>
  <c r="D23" i="3"/>
  <c r="D25" i="3"/>
  <c r="D27" i="3"/>
  <c r="D29" i="3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 Inc.</author>
  </authors>
  <commentList>
    <comment ref="A17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HP Inc.:</t>
        </r>
        <r>
          <rPr>
            <sz val="9"/>
            <color indexed="81"/>
            <rFont val="Tahoma"/>
            <family val="2"/>
            <charset val="204"/>
          </rPr>
          <t xml:space="preserve">
Thermal Resistence of Inner layer</t>
        </r>
      </text>
    </comment>
    <comment ref="A18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HP Inc.:</t>
        </r>
        <r>
          <rPr>
            <sz val="9"/>
            <color indexed="81"/>
            <rFont val="Tahoma"/>
            <family val="2"/>
            <charset val="204"/>
          </rPr>
          <t xml:space="preserve">
Thermal Resistence of  Outer layer</t>
        </r>
      </text>
    </comment>
  </commentList>
</comments>
</file>

<file path=xl/sharedStrings.xml><?xml version="1.0" encoding="utf-8"?>
<sst xmlns="http://schemas.openxmlformats.org/spreadsheetml/2006/main" count="110" uniqueCount="90">
  <si>
    <t>σ</t>
  </si>
  <si>
    <t>ε</t>
  </si>
  <si>
    <t>Tm</t>
  </si>
  <si>
    <t>Thermal Conductivity</t>
  </si>
  <si>
    <t>Inner layer</t>
  </si>
  <si>
    <t>Insulation Inner layer</t>
  </si>
  <si>
    <t>Outer layer</t>
  </si>
  <si>
    <t>Insulation Outer layer</t>
  </si>
  <si>
    <t>OD Insulation Inner Layer</t>
  </si>
  <si>
    <t>OD Insulation Outer layer</t>
  </si>
  <si>
    <t>Pipe OD, mm</t>
  </si>
  <si>
    <t>Qconv</t>
  </si>
  <si>
    <t>Qrad</t>
  </si>
  <si>
    <t>Qcond</t>
  </si>
  <si>
    <t>Qtotal</t>
  </si>
  <si>
    <t>Tinsmidl1</t>
  </si>
  <si>
    <t>Tcladding</t>
  </si>
  <si>
    <t>T between layers</t>
  </si>
  <si>
    <t>Tinsmidl2</t>
  </si>
  <si>
    <t>Center</t>
  </si>
  <si>
    <t>Pipe</t>
  </si>
  <si>
    <t>1st layer</t>
  </si>
  <si>
    <t>2nd layer</t>
  </si>
  <si>
    <t>k, W/mK</t>
  </si>
  <si>
    <t>T, °C</t>
  </si>
  <si>
    <t>Pipeline Process Temperature</t>
  </si>
  <si>
    <t>Pipeline ID</t>
  </si>
  <si>
    <t>Forced Ts value</t>
  </si>
  <si>
    <t>Insulation Thermal Conductivity</t>
  </si>
  <si>
    <t>Inner Layer</t>
  </si>
  <si>
    <t>Outer Layer</t>
  </si>
  <si>
    <t>Pipeline Outer Deameter</t>
  </si>
  <si>
    <t>Technical Report for Temperature Distribution into  Double layer Insulation</t>
  </si>
  <si>
    <t>Inner layer insulation thickness</t>
  </si>
  <si>
    <t>Outer layer insulation thickness</t>
  </si>
  <si>
    <t>Q, W</t>
  </si>
  <si>
    <t>hconv, W/m2K</t>
  </si>
  <si>
    <t>Rrad, Km/W</t>
  </si>
  <si>
    <t>Rcomb, Km/W</t>
  </si>
  <si>
    <t>Rconv, Km/W</t>
  </si>
  <si>
    <t>Rcond1, Km/W</t>
  </si>
  <si>
    <t>Rcond2, Km/W</t>
  </si>
  <si>
    <t>Heat Transfer rates, conduction</t>
  </si>
  <si>
    <t>Heat Transfer rates, convection</t>
  </si>
  <si>
    <t>Heat Transfer rates, radiation</t>
  </si>
  <si>
    <t>Temperature on the cladding</t>
  </si>
  <si>
    <t>Heat Transfer coefficient, W/m2K</t>
  </si>
  <si>
    <t>Temperature between insulation layers</t>
  </si>
  <si>
    <t>Maximum Ambient Temperature</t>
  </si>
  <si>
    <t>Inner Layer Thermal Resistance, Km/W</t>
  </si>
  <si>
    <t>Outer Layer Thermal Resistance, Km/W</t>
  </si>
  <si>
    <t>Cladding emissivity</t>
  </si>
  <si>
    <t>If you have any question please contact with Alexander Volodin</t>
  </si>
  <si>
    <t>Middle layer insulation Properties</t>
  </si>
  <si>
    <t>Middle 1st layer</t>
  </si>
  <si>
    <t>Middle 2nd layer</t>
  </si>
  <si>
    <t>Tamb</t>
  </si>
  <si>
    <t>Ts (cladding)</t>
  </si>
  <si>
    <t>Insulation Type</t>
  </si>
  <si>
    <t>Rockwool / Mineral Fibre 454C/850F Type I (ASTM C547-15)</t>
  </si>
  <si>
    <t>Rockwool / Mineral Fibre 650C/1200F Type II/III (ASTM C547-1</t>
  </si>
  <si>
    <t>Rockwool / Mineral Fibre 538C/1000F Type IV (ASTM C547-15)</t>
  </si>
  <si>
    <t>Cellular Glass Type I Block (ASTM C552-15)</t>
  </si>
  <si>
    <t>Cellular Glass Type II Pipe (ASTM C552-15)</t>
  </si>
  <si>
    <t>Calcium Silicate Type I (ASTM C533-13)</t>
  </si>
  <si>
    <t>RW/MW Type I</t>
  </si>
  <si>
    <r>
      <rPr>
        <sz val="8"/>
        <rFont val="Arial MT"/>
        <family val="2"/>
      </rPr>
      <t xml:space="preserve">Temperature
</t>
    </r>
    <r>
      <rPr>
        <sz val="8"/>
        <rFont val="Arial MT"/>
        <family val="2"/>
      </rPr>
      <t>°C</t>
    </r>
  </si>
  <si>
    <r>
      <rPr>
        <sz val="8"/>
        <rFont val="Arial MT"/>
        <family val="2"/>
      </rPr>
      <t>Thermal Conductivity W/m-K</t>
    </r>
  </si>
  <si>
    <t>RW/MW Type II/III/IV/V</t>
  </si>
  <si>
    <t>CG Type I Block</t>
  </si>
  <si>
    <t>CG Type II Pipe</t>
  </si>
  <si>
    <t>Calcium Silicate Type I</t>
  </si>
  <si>
    <t>Insulation Inner Type</t>
  </si>
  <si>
    <t>Insulation Outer Type</t>
  </si>
  <si>
    <t>Pipeline with Double Insulation</t>
  </si>
  <si>
    <t>Line Number</t>
  </si>
  <si>
    <t>Pipe Size</t>
  </si>
  <si>
    <t>Max. Exposure Temp.</t>
  </si>
  <si>
    <t>Insulation thickness 1st layer</t>
  </si>
  <si>
    <t>Insulation thickness 2st layer</t>
  </si>
  <si>
    <t>Max Ambient</t>
  </si>
  <si>
    <t>New Pipe Size</t>
  </si>
  <si>
    <t>New Max. Exposure Temp.</t>
  </si>
  <si>
    <t>Insulation thickness</t>
  </si>
  <si>
    <t>(Deg. C)</t>
  </si>
  <si>
    <t>(mm)</t>
  </si>
  <si>
    <t>001_CW01-0100300</t>
  </si>
  <si>
    <t>002_CW01-0100300</t>
  </si>
  <si>
    <t>003_CW01-0100300</t>
  </si>
  <si>
    <t>Rockwool / Mineral Fibre 760C/1400F Type V (ASTM C547-15)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</si>
</sst>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\ \m\m"/>
    <numFmt numFmtId="165" formatCode="General\ \°\C"/>
    <numFmt numFmtId="166" formatCode="General\ \W"/>
    <numFmt numFmtId="167" formatCode="0.000"/>
    <numFmt numFmtId="168" formatCode="0.0000"/>
  </numFmts>
  <fonts count="1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.5"/>
      <name val="Arial MT"/>
    </font>
    <font>
      <sz val="8"/>
      <name val="Arial MT"/>
      <family val="2"/>
    </font>
    <font>
      <sz val="8"/>
      <name val="Arial MT"/>
    </font>
    <font>
      <sz val="8"/>
      <color rgb="FF000000"/>
      <name val="Arial MT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MT"/>
      <family val="2"/>
    </font>
    <font>
      <sz val="10"/>
      <name val="Arial MT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EFEFEF"/>
      </patternFill>
    </fill>
    <fill>
      <patternFill patternType="solid">
        <fgColor rgb="FFFFFFE1"/>
      </patternFill>
    </fill>
    <fill>
      <patternFill patternType="solid">
        <fgColor rgb="FF92D0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646464"/>
      </bottom>
      <diagonal/>
    </border>
    <border>
      <left style="thin">
        <color rgb="FFFFFFFF"/>
      </left>
      <right style="thin">
        <color rgb="FFFFFFFF"/>
      </right>
      <top style="thin">
        <color rgb="FF646464"/>
      </top>
      <bottom/>
      <diagonal/>
    </border>
    <border>
      <left style="thin">
        <color rgb="FFFFFFFF"/>
      </left>
      <right style="thin">
        <color rgb="FF646464"/>
      </right>
      <top style="thin">
        <color rgb="FF646464"/>
      </top>
      <bottom/>
      <diagonal/>
    </border>
    <border>
      <left style="thin">
        <color indexed="64"/>
      </left>
      <right style="thin">
        <color rgb="FFEFEFEF"/>
      </right>
      <top style="thin">
        <color indexed="64"/>
      </top>
      <bottom style="thin">
        <color rgb="FFEFEFEF"/>
      </bottom>
      <diagonal/>
    </border>
    <border>
      <left style="thin">
        <color rgb="FFEFEFEF"/>
      </left>
      <right style="thin">
        <color indexed="64"/>
      </right>
      <top style="thin">
        <color indexed="64"/>
      </top>
      <bottom style="thin">
        <color rgb="FFEFEFEF"/>
      </bottom>
      <diagonal/>
    </border>
    <border>
      <left style="thin">
        <color indexed="64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indexed="64"/>
      </right>
      <top style="thin">
        <color rgb="FFEFEFEF"/>
      </top>
      <bottom style="thin">
        <color rgb="FFEFEFEF"/>
      </bottom>
      <diagonal/>
    </border>
    <border>
      <left style="thin">
        <color indexed="64"/>
      </left>
      <right style="thin">
        <color rgb="FFEFEFEF"/>
      </right>
      <top style="thin">
        <color rgb="FFEFEFEF"/>
      </top>
      <bottom style="thin">
        <color indexed="64"/>
      </bottom>
      <diagonal/>
    </border>
    <border>
      <left style="thin">
        <color rgb="FFEFEFEF"/>
      </left>
      <right style="thin">
        <color indexed="64"/>
      </right>
      <top style="thin">
        <color rgb="FFEFEFE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0">
    <xf numFmtId="0" fontId="0" fillId="0" borderId="0" xfId="0"/>
    <xf numFmtId="165" fontId="0" fillId="0" borderId="3" xfId="0" applyNumberFormat="1" applyBorder="1"/>
    <xf numFmtId="0" fontId="0" fillId="0" borderId="4" xfId="0" applyBorder="1"/>
    <xf numFmtId="165" fontId="0" fillId="0" borderId="5" xfId="0" applyNumberFormat="1" applyBorder="1"/>
    <xf numFmtId="0" fontId="0" fillId="0" borderId="6" xfId="0" applyBorder="1"/>
    <xf numFmtId="165" fontId="0" fillId="0" borderId="7" xfId="0" applyNumberFormat="1" applyBorder="1"/>
    <xf numFmtId="0" fontId="0" fillId="0" borderId="8" xfId="0" applyBorder="1"/>
    <xf numFmtId="165" fontId="0" fillId="0" borderId="0" xfId="0" applyNumberFormat="1" applyFill="1" applyBorder="1"/>
    <xf numFmtId="0" fontId="0" fillId="0" borderId="1" xfId="0" applyBorder="1"/>
    <xf numFmtId="0" fontId="0" fillId="0" borderId="11" xfId="0" applyBorder="1"/>
    <xf numFmtId="0" fontId="0" fillId="0" borderId="13" xfId="0" applyBorder="1"/>
    <xf numFmtId="164" fontId="0" fillId="0" borderId="2" xfId="0" applyNumberFormat="1" applyBorder="1"/>
    <xf numFmtId="164" fontId="0" fillId="0" borderId="12" xfId="0" applyNumberFormat="1" applyBorder="1"/>
    <xf numFmtId="0" fontId="0" fillId="0" borderId="2" xfId="0" applyBorder="1"/>
    <xf numFmtId="0" fontId="0" fillId="0" borderId="15" xfId="0" applyBorder="1"/>
    <xf numFmtId="0" fontId="0" fillId="0" borderId="16" xfId="0" applyBorder="1"/>
    <xf numFmtId="165" fontId="0" fillId="0" borderId="12" xfId="0" applyNumberFormat="1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65" fontId="0" fillId="0" borderId="19" xfId="0" applyNumberFormat="1" applyBorder="1"/>
    <xf numFmtId="164" fontId="0" fillId="0" borderId="19" xfId="0" applyNumberFormat="1" applyBorder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0" xfId="0" applyBorder="1"/>
    <xf numFmtId="0" fontId="0" fillId="0" borderId="2" xfId="0" applyNumberFormat="1" applyFill="1" applyBorder="1"/>
    <xf numFmtId="165" fontId="0" fillId="0" borderId="14" xfId="0" applyNumberFormat="1" applyBorder="1"/>
    <xf numFmtId="0" fontId="1" fillId="0" borderId="3" xfId="0" applyFont="1" applyBorder="1"/>
    <xf numFmtId="0" fontId="1" fillId="0" borderId="7" xfId="0" applyFont="1" applyBorder="1"/>
    <xf numFmtId="11" fontId="0" fillId="0" borderId="8" xfId="0" applyNumberFormat="1" applyBorder="1"/>
    <xf numFmtId="0" fontId="0" fillId="0" borderId="27" xfId="0" applyBorder="1"/>
    <xf numFmtId="0" fontId="0" fillId="0" borderId="0" xfId="0" applyBorder="1"/>
    <xf numFmtId="0" fontId="0" fillId="0" borderId="0" xfId="0" applyNumberFormat="1" applyBorder="1"/>
    <xf numFmtId="0" fontId="0" fillId="0" borderId="28" xfId="0" applyBorder="1"/>
    <xf numFmtId="0" fontId="0" fillId="0" borderId="12" xfId="0" applyBorder="1"/>
    <xf numFmtId="0" fontId="0" fillId="0" borderId="3" xfId="0" applyBorder="1"/>
    <xf numFmtId="0" fontId="0" fillId="0" borderId="7" xfId="0" applyBorder="1"/>
    <xf numFmtId="0" fontId="0" fillId="0" borderId="13" xfId="0" applyBorder="1" applyProtection="1">
      <protection hidden="1"/>
    </xf>
    <xf numFmtId="0" fontId="0" fillId="0" borderId="26" xfId="0" applyBorder="1" applyProtection="1">
      <protection hidden="1"/>
    </xf>
    <xf numFmtId="165" fontId="0" fillId="0" borderId="25" xfId="0" applyNumberFormat="1" applyBorder="1" applyProtection="1">
      <protection hidden="1"/>
    </xf>
    <xf numFmtId="165" fontId="0" fillId="0" borderId="3" xfId="0" applyNumberFormat="1" applyBorder="1" applyProtection="1">
      <protection hidden="1"/>
    </xf>
    <xf numFmtId="0" fontId="0" fillId="0" borderId="9" xfId="0" applyBorder="1" applyProtection="1">
      <protection hidden="1"/>
    </xf>
    <xf numFmtId="0" fontId="0" fillId="0" borderId="4" xfId="0" applyBorder="1" applyProtection="1">
      <protection hidden="1"/>
    </xf>
    <xf numFmtId="165" fontId="0" fillId="0" borderId="7" xfId="0" applyNumberFormat="1" applyBorder="1" applyProtection="1">
      <protection hidden="1"/>
    </xf>
    <xf numFmtId="0" fontId="0" fillId="0" borderId="10" xfId="0" applyBorder="1" applyProtection="1">
      <protection hidden="1"/>
    </xf>
    <xf numFmtId="0" fontId="0" fillId="0" borderId="8" xfId="0" applyBorder="1" applyProtection="1">
      <protection hidden="1"/>
    </xf>
    <xf numFmtId="164" fontId="0" fillId="0" borderId="25" xfId="0" applyNumberFormat="1" applyBorder="1" applyProtection="1">
      <protection hidden="1"/>
    </xf>
    <xf numFmtId="0" fontId="0" fillId="0" borderId="24" xfId="0" applyBorder="1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165" fontId="0" fillId="0" borderId="22" xfId="0" applyNumberFormat="1" applyBorder="1" applyProtection="1">
      <protection hidden="1"/>
    </xf>
    <xf numFmtId="165" fontId="0" fillId="0" borderId="23" xfId="0" applyNumberFormat="1" applyBorder="1" applyProtection="1"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0" borderId="8" xfId="0" applyBorder="1" applyAlignment="1" applyProtection="1">
      <alignment horizontal="left"/>
      <protection hidden="1"/>
    </xf>
    <xf numFmtId="165" fontId="0" fillId="0" borderId="21" xfId="0" applyNumberFormat="1" applyBorder="1" applyProtection="1">
      <protection hidden="1"/>
    </xf>
    <xf numFmtId="165" fontId="0" fillId="0" borderId="8" xfId="0" applyNumberFormat="1" applyBorder="1" applyProtection="1">
      <protection hidden="1"/>
    </xf>
    <xf numFmtId="167" fontId="0" fillId="0" borderId="25" xfId="0" applyNumberFormat="1" applyBorder="1" applyProtection="1">
      <protection hidden="1"/>
    </xf>
    <xf numFmtId="0" fontId="0" fillId="0" borderId="29" xfId="0" applyBorder="1" applyProtection="1">
      <protection hidden="1"/>
    </xf>
    <xf numFmtId="166" fontId="0" fillId="0" borderId="25" xfId="0" applyNumberFormat="1" applyBorder="1" applyProtection="1">
      <protection hidden="1"/>
    </xf>
    <xf numFmtId="2" fontId="0" fillId="0" borderId="25" xfId="0" applyNumberFormat="1" applyBorder="1" applyProtection="1">
      <protection hidden="1"/>
    </xf>
    <xf numFmtId="0" fontId="0" fillId="2" borderId="20" xfId="0" applyFill="1" applyBorder="1" applyProtection="1">
      <protection locked="0"/>
    </xf>
    <xf numFmtId="0" fontId="0" fillId="0" borderId="2" xfId="0" applyBorder="1" applyProtection="1">
      <protection hidden="1"/>
    </xf>
    <xf numFmtId="0" fontId="0" fillId="0" borderId="16" xfId="0" applyBorder="1" applyProtection="1">
      <protection hidden="1"/>
    </xf>
    <xf numFmtId="166" fontId="0" fillId="0" borderId="12" xfId="0" applyNumberFormat="1" applyBorder="1" applyProtection="1">
      <protection hidden="1"/>
    </xf>
    <xf numFmtId="0" fontId="0" fillId="0" borderId="0" xfId="0" applyBorder="1" applyProtection="1">
      <protection hidden="1"/>
    </xf>
    <xf numFmtId="166" fontId="0" fillId="0" borderId="2" xfId="0" applyNumberFormat="1" applyBorder="1" applyProtection="1">
      <protection hidden="1"/>
    </xf>
    <xf numFmtId="166" fontId="0" fillId="0" borderId="16" xfId="0" applyNumberFormat="1" applyBorder="1" applyProtection="1">
      <protection hidden="1"/>
    </xf>
    <xf numFmtId="165" fontId="0" fillId="0" borderId="2" xfId="0" applyNumberFormat="1" applyFill="1" applyBorder="1" applyProtection="1">
      <protection hidden="1"/>
    </xf>
    <xf numFmtId="165" fontId="0" fillId="0" borderId="12" xfId="0" applyNumberForma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0" fillId="0" borderId="30" xfId="0" applyBorder="1" applyProtection="1">
      <protection hidden="1"/>
    </xf>
    <xf numFmtId="0" fontId="4" fillId="0" borderId="0" xfId="0" applyFont="1"/>
    <xf numFmtId="0" fontId="0" fillId="0" borderId="14" xfId="0" applyBorder="1"/>
    <xf numFmtId="0" fontId="0" fillId="0" borderId="16" xfId="0" applyNumberFormat="1" applyFill="1" applyBorder="1"/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Alignment="1">
      <alignment wrapText="1"/>
    </xf>
    <xf numFmtId="0" fontId="6" fillId="0" borderId="33" xfId="0" applyFont="1" applyBorder="1" applyAlignment="1">
      <alignment vertical="top" wrapText="1"/>
    </xf>
    <xf numFmtId="0" fontId="0" fillId="3" borderId="34" xfId="0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 wrapText="1"/>
    </xf>
    <xf numFmtId="2" fontId="9" fillId="0" borderId="36" xfId="0" applyNumberFormat="1" applyFont="1" applyBorder="1" applyAlignment="1">
      <alignment horizontal="right" vertical="top" shrinkToFit="1"/>
    </xf>
    <xf numFmtId="168" fontId="9" fillId="0" borderId="37" xfId="0" applyNumberFormat="1" applyFont="1" applyBorder="1" applyAlignment="1">
      <alignment horizontal="right" vertical="top" shrinkToFit="1"/>
    </xf>
    <xf numFmtId="2" fontId="9" fillId="4" borderId="38" xfId="0" applyNumberFormat="1" applyFont="1" applyFill="1" applyBorder="1" applyAlignment="1">
      <alignment horizontal="right" vertical="top" shrinkToFit="1"/>
    </xf>
    <xf numFmtId="168" fontId="9" fillId="4" borderId="39" xfId="0" applyNumberFormat="1" applyFont="1" applyFill="1" applyBorder="1" applyAlignment="1">
      <alignment horizontal="right" vertical="top" shrinkToFit="1"/>
    </xf>
    <xf numFmtId="2" fontId="9" fillId="0" borderId="38" xfId="0" applyNumberFormat="1" applyFont="1" applyBorder="1" applyAlignment="1">
      <alignment horizontal="right" vertical="top" shrinkToFit="1"/>
    </xf>
    <xf numFmtId="168" fontId="9" fillId="0" borderId="39" xfId="0" applyNumberFormat="1" applyFont="1" applyBorder="1" applyAlignment="1">
      <alignment horizontal="right" vertical="top" shrinkToFit="1"/>
    </xf>
    <xf numFmtId="2" fontId="9" fillId="0" borderId="40" xfId="0" applyNumberFormat="1" applyFont="1" applyBorder="1" applyAlignment="1">
      <alignment horizontal="right" vertical="top" shrinkToFit="1"/>
    </xf>
    <xf numFmtId="168" fontId="9" fillId="0" borderId="41" xfId="0" applyNumberFormat="1" applyFont="1" applyBorder="1" applyAlignment="1">
      <alignment horizontal="right" vertical="top" shrinkToFit="1"/>
    </xf>
    <xf numFmtId="2" fontId="9" fillId="4" borderId="40" xfId="0" applyNumberFormat="1" applyFont="1" applyFill="1" applyBorder="1" applyAlignment="1">
      <alignment horizontal="right" vertical="top" shrinkToFit="1"/>
    </xf>
    <xf numFmtId="168" fontId="9" fillId="4" borderId="41" xfId="0" applyNumberFormat="1" applyFont="1" applyFill="1" applyBorder="1" applyAlignment="1">
      <alignment horizontal="right" vertical="top" shrinkToFit="1"/>
    </xf>
    <xf numFmtId="164" fontId="0" fillId="5" borderId="4" xfId="0" applyNumberFormat="1" applyFill="1" applyBorder="1" applyProtection="1">
      <protection locked="0"/>
    </xf>
    <xf numFmtId="0" fontId="0" fillId="0" borderId="5" xfId="0" applyBorder="1"/>
    <xf numFmtId="164" fontId="0" fillId="5" borderId="6" xfId="0" applyNumberFormat="1" applyFill="1" applyBorder="1" applyProtection="1">
      <protection locked="0"/>
    </xf>
    <xf numFmtId="164" fontId="0" fillId="5" borderId="8" xfId="0" applyNumberFormat="1" applyFill="1" applyBorder="1" applyProtection="1">
      <protection locked="0"/>
    </xf>
    <xf numFmtId="0" fontId="0" fillId="0" borderId="4" xfId="0" applyFill="1" applyBorder="1" applyProtection="1">
      <protection locked="0"/>
    </xf>
    <xf numFmtId="165" fontId="0" fillId="5" borderId="4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4" fontId="0" fillId="5" borderId="14" xfId="0" applyNumberFormat="1" applyFill="1" applyBorder="1" applyProtection="1">
      <protection locked="0"/>
    </xf>
    <xf numFmtId="165" fontId="0" fillId="0" borderId="3" xfId="0" applyNumberFormat="1" applyFill="1" applyBorder="1" applyProtection="1">
      <protection locked="0"/>
    </xf>
    <xf numFmtId="0" fontId="0" fillId="0" borderId="9" xfId="0" applyFill="1" applyBorder="1" applyProtection="1">
      <protection locked="0"/>
    </xf>
    <xf numFmtId="165" fontId="0" fillId="0" borderId="7" xfId="0" applyNumberFormat="1" applyFill="1" applyBorder="1" applyProtection="1">
      <protection locked="0"/>
    </xf>
    <xf numFmtId="0" fontId="0" fillId="0" borderId="10" xfId="0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10" fillId="6" borderId="19" xfId="0" applyFont="1" applyFill="1" applyBorder="1" applyAlignment="1">
      <alignment horizontal="center" textRotation="90" wrapText="1"/>
    </xf>
    <xf numFmtId="0" fontId="11" fillId="0" borderId="0" xfId="0" applyFont="1" applyAlignment="1">
      <alignment horizontal="center" textRotation="90"/>
    </xf>
    <xf numFmtId="0" fontId="12" fillId="6" borderId="42" xfId="0" applyFont="1" applyFill="1" applyBorder="1" applyAlignment="1">
      <alignment horizontal="center" textRotation="90"/>
    </xf>
    <xf numFmtId="0" fontId="12" fillId="6" borderId="42" xfId="0" applyFont="1" applyFill="1" applyBorder="1" applyAlignment="1">
      <alignment horizontal="center"/>
    </xf>
    <xf numFmtId="0" fontId="12" fillId="7" borderId="42" xfId="0" applyFont="1" applyFill="1" applyBorder="1" applyAlignment="1">
      <alignment horizontal="center"/>
    </xf>
    <xf numFmtId="0" fontId="12" fillId="0" borderId="0" xfId="0" applyFont="1" applyAlignment="1">
      <alignment horizontal="center" textRotation="90"/>
    </xf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28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10" fillId="7" borderId="19" xfId="0" applyFont="1" applyFill="1" applyBorder="1" applyAlignment="1">
      <alignment horizontal="center" textRotation="90" wrapText="1"/>
    </xf>
    <xf numFmtId="0" fontId="14" fillId="0" borderId="0" xfId="0" applyFont="1" applyAlignment="1">
      <alignment wrapText="1"/>
    </xf>
    <xf numFmtId="0" fontId="15" fillId="0" borderId="33" xfId="0" applyFont="1" applyBorder="1" applyAlignment="1">
      <alignment vertical="top" wrapText="1"/>
    </xf>
    <xf numFmtId="0" fontId="16" fillId="0" borderId="33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  <a:r>
              <a:rPr lang="en-US" baseline="0"/>
              <a:t> distribution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Sheet2!$B$1:$B$26</c:f>
              <c:numCache>
                <c:formatCode>General\ \m\m</c:formatCode>
                <c:ptCount val="26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177</c:v>
                </c:pt>
                <c:pt idx="17">
                  <c:v>179</c:v>
                </c:pt>
                <c:pt idx="18">
                  <c:v>181</c:v>
                </c:pt>
                <c:pt idx="19">
                  <c:v>183</c:v>
                </c:pt>
                <c:pt idx="20">
                  <c:v>185</c:v>
                </c:pt>
                <c:pt idx="21">
                  <c:v>187</c:v>
                </c:pt>
                <c:pt idx="22">
                  <c:v>189</c:v>
                </c:pt>
                <c:pt idx="23">
                  <c:v>191</c:v>
                </c:pt>
                <c:pt idx="24">
                  <c:v>193</c:v>
                </c:pt>
                <c:pt idx="25">
                  <c:v>195</c:v>
                </c:pt>
              </c:numCache>
            </c:numRef>
          </c:xVal>
          <c:yVal>
            <c:numRef>
              <c:f>Sheet2!$C$1:$C$26</c:f>
              <c:numCache>
                <c:formatCode>General\ \°\C</c:formatCode>
                <c:ptCount val="26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375.25678091389216</c:v>
                </c:pt>
                <c:pt idx="7">
                  <c:v>351.44749422367738</c:v>
                </c:pt>
                <c:pt idx="8">
                  <c:v>328.50419424213987</c:v>
                </c:pt>
                <c:pt idx="9">
                  <c:v>306.36609056417825</c:v>
                </c:pt>
                <c:pt idx="10">
                  <c:v>284.97857735930404</c:v>
                </c:pt>
                <c:pt idx="11">
                  <c:v>264.29242189004674</c:v>
                </c:pt>
                <c:pt idx="12">
                  <c:v>244.26308190771951</c:v>
                </c:pt>
                <c:pt idx="13">
                  <c:v>224.85012811825695</c:v>
                </c:pt>
                <c:pt idx="14">
                  <c:v>206.01675288881475</c:v>
                </c:pt>
                <c:pt idx="15">
                  <c:v>187.72935019301357</c:v>
                </c:pt>
                <c:pt idx="16">
                  <c:v>178.25038414283659</c:v>
                </c:pt>
                <c:pt idx="17">
                  <c:v>168.87792558296232</c:v>
                </c:pt>
                <c:pt idx="18">
                  <c:v>159.60960760639304</c:v>
                </c:pt>
                <c:pt idx="19">
                  <c:v>150.4431413392266</c:v>
                </c:pt>
                <c:pt idx="20">
                  <c:v>141.37631254774166</c:v>
                </c:pt>
                <c:pt idx="21">
                  <c:v>132.40697842790951</c:v>
                </c:pt>
                <c:pt idx="22">
                  <c:v>123.53306456568656</c:v>
                </c:pt>
                <c:pt idx="23">
                  <c:v>114.75256205729953</c:v>
                </c:pt>
                <c:pt idx="24">
                  <c:v>106.06352477952514</c:v>
                </c:pt>
                <c:pt idx="25">
                  <c:v>97.464066797935089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18-4535-B0A1-860F0E5BC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418304"/>
        <c:axId val="109417056"/>
      </c:scatterChart>
      <c:valAx>
        <c:axId val="10941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\ \m\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17056"/>
        <c:crosses val="autoZero"/>
        <c:crossBetween val="midCat"/>
      </c:valAx>
      <c:valAx>
        <c:axId val="1094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\ 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1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  <a:r>
              <a:rPr lang="en-US" baseline="0"/>
              <a:t> distribution</a:t>
            </a:r>
            <a:endParaRPr lang="en-US"/>
          </a:p>
        </c:rich>
      </c:tx>
      <c:layout>
        <c:manualLayout>
          <c:xMode val="edge"/>
          <c:yMode val="edge"/>
          <c:x val="0.27076475852417764"/>
          <c:y val="1.46520146520146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361004396390653"/>
          <c:y val="0.11301833417925003"/>
          <c:w val="0.79484770370808211"/>
          <c:h val="0.6287316630875686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Sheet2!$B$1:$B$26</c:f>
              <c:numCache>
                <c:formatCode>General\ \m\m</c:formatCode>
                <c:ptCount val="26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177</c:v>
                </c:pt>
                <c:pt idx="17">
                  <c:v>179</c:v>
                </c:pt>
                <c:pt idx="18">
                  <c:v>181</c:v>
                </c:pt>
                <c:pt idx="19">
                  <c:v>183</c:v>
                </c:pt>
                <c:pt idx="20">
                  <c:v>185</c:v>
                </c:pt>
                <c:pt idx="21">
                  <c:v>187</c:v>
                </c:pt>
                <c:pt idx="22">
                  <c:v>189</c:v>
                </c:pt>
                <c:pt idx="23">
                  <c:v>191</c:v>
                </c:pt>
                <c:pt idx="24">
                  <c:v>193</c:v>
                </c:pt>
                <c:pt idx="25">
                  <c:v>195</c:v>
                </c:pt>
              </c:numCache>
            </c:numRef>
          </c:xVal>
          <c:yVal>
            <c:numRef>
              <c:f>Sheet2!$C$1:$C$26</c:f>
              <c:numCache>
                <c:formatCode>General\ \°\C</c:formatCode>
                <c:ptCount val="26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375.25678091389216</c:v>
                </c:pt>
                <c:pt idx="7">
                  <c:v>351.44749422367738</c:v>
                </c:pt>
                <c:pt idx="8">
                  <c:v>328.50419424213987</c:v>
                </c:pt>
                <c:pt idx="9">
                  <c:v>306.36609056417825</c:v>
                </c:pt>
                <c:pt idx="10">
                  <c:v>284.97857735930404</c:v>
                </c:pt>
                <c:pt idx="11">
                  <c:v>264.29242189004674</c:v>
                </c:pt>
                <c:pt idx="12">
                  <c:v>244.26308190771951</c:v>
                </c:pt>
                <c:pt idx="13">
                  <c:v>224.85012811825695</c:v>
                </c:pt>
                <c:pt idx="14">
                  <c:v>206.01675288881475</c:v>
                </c:pt>
                <c:pt idx="15">
                  <c:v>187.72935019301357</c:v>
                </c:pt>
                <c:pt idx="16">
                  <c:v>178.25038414283659</c:v>
                </c:pt>
                <c:pt idx="17">
                  <c:v>168.87792558296232</c:v>
                </c:pt>
                <c:pt idx="18">
                  <c:v>159.60960760639304</c:v>
                </c:pt>
                <c:pt idx="19">
                  <c:v>150.4431413392266</c:v>
                </c:pt>
                <c:pt idx="20">
                  <c:v>141.37631254774166</c:v>
                </c:pt>
                <c:pt idx="21">
                  <c:v>132.40697842790951</c:v>
                </c:pt>
                <c:pt idx="22">
                  <c:v>123.53306456568656</c:v>
                </c:pt>
                <c:pt idx="23">
                  <c:v>114.75256205729953</c:v>
                </c:pt>
                <c:pt idx="24">
                  <c:v>106.06352477952514</c:v>
                </c:pt>
                <c:pt idx="25">
                  <c:v>97.464066797935089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FC-42CB-9F02-995F166CA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418304"/>
        <c:axId val="109417056"/>
      </c:scatterChart>
      <c:valAx>
        <c:axId val="10941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Radius</a:t>
                </a:r>
              </a:p>
            </c:rich>
          </c:tx>
          <c:layout>
            <c:manualLayout>
              <c:xMode val="edge"/>
              <c:yMode val="edge"/>
              <c:x val="0.50604515396673821"/>
              <c:y val="0.923586614173228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\ \m\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17056"/>
        <c:crosses val="autoZero"/>
        <c:crossBetween val="midCat"/>
      </c:valAx>
      <c:valAx>
        <c:axId val="1094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\ 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1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14</xdr:row>
      <xdr:rowOff>104775</xdr:rowOff>
    </xdr:from>
    <xdr:to>
      <xdr:col>7</xdr:col>
      <xdr:colOff>476250</xdr:colOff>
      <xdr:row>27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76200</xdr:colOff>
      <xdr:row>3</xdr:row>
      <xdr:rowOff>6517</xdr:rowOff>
    </xdr:from>
    <xdr:to>
      <xdr:col>20</xdr:col>
      <xdr:colOff>503630</xdr:colOff>
      <xdr:row>22</xdr:row>
      <xdr:rowOff>123114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10425" y="606592"/>
          <a:ext cx="6523430" cy="3878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457200</xdr:rowOff>
        </xdr:from>
        <xdr:to>
          <xdr:col>11</xdr:col>
          <xdr:colOff>350520</xdr:colOff>
          <xdr:row>0</xdr:row>
          <xdr:rowOff>922020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114300</xdr:rowOff>
    </xdr:from>
    <xdr:to>
      <xdr:col>2</xdr:col>
      <xdr:colOff>57151</xdr:colOff>
      <xdr:row>2</xdr:row>
      <xdr:rowOff>16800</xdr:rowOff>
    </xdr:to>
    <xdr:pic>
      <xdr:nvPicPr>
        <xdr:cNvPr id="3" name="Picture 2" descr="ÐÐ°ÑÑÐ¸Ð½ÐºÐ¸ Ð¿Ð¾ Ð·Ð°Ð¿ÑÐ¾ÑÑ raychem nven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8587"/>
        <a:stretch/>
      </xdr:blipFill>
      <xdr:spPr bwMode="auto">
        <a:xfrm>
          <a:off x="123825" y="114300"/>
          <a:ext cx="1323976" cy="28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95250</xdr:colOff>
      <xdr:row>16</xdr:row>
      <xdr:rowOff>85725</xdr:rowOff>
    </xdr:from>
    <xdr:to>
      <xdr:col>11</xdr:col>
      <xdr:colOff>600075</xdr:colOff>
      <xdr:row>29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3"/>
  <sheetViews>
    <sheetView workbookViewId="0">
      <selection activeCell="D10" sqref="D10"/>
    </sheetView>
  </sheetViews>
  <sheetFormatPr defaultRowHeight="14.4"/>
  <cols>
    <col min="1" max="1" width="20.5546875" bestFit="1" customWidth="1"/>
    <col min="2" max="2" width="20.109375" customWidth="1"/>
    <col min="4" max="4" width="30.33203125" customWidth="1"/>
    <col min="10" max="10" width="23.6640625" hidden="1" customWidth="1"/>
    <col min="11" max="11" width="9.109375" hidden="1" customWidth="1"/>
    <col min="12" max="21" width="9.109375" customWidth="1"/>
  </cols>
  <sheetData>
    <row r="1" spans="1:11" ht="15" thickBot="1"/>
    <row r="2" spans="1:11" ht="15" thickBot="1">
      <c r="A2" s="24" t="s">
        <v>26</v>
      </c>
      <c r="B2" s="112" t="s">
        <v>74</v>
      </c>
      <c r="C2" s="113"/>
      <c r="D2" s="113"/>
      <c r="E2" s="113"/>
      <c r="F2" s="113"/>
      <c r="G2" s="113"/>
      <c r="H2" s="114"/>
    </row>
    <row r="3" spans="1:11" ht="15" thickBot="1"/>
    <row r="4" spans="1:11" ht="15" thickBot="1">
      <c r="A4" s="35" t="s">
        <v>2</v>
      </c>
      <c r="B4" s="96">
        <v>400</v>
      </c>
      <c r="C4" s="30"/>
      <c r="D4" s="30"/>
      <c r="E4" s="115" t="s">
        <v>3</v>
      </c>
      <c r="F4" s="116"/>
      <c r="G4" s="116"/>
      <c r="H4" s="117"/>
      <c r="J4" s="8" t="s">
        <v>8</v>
      </c>
      <c r="K4" s="11">
        <f>B7+(2*B10)</f>
        <v>350</v>
      </c>
    </row>
    <row r="5" spans="1:11" ht="15" thickBot="1">
      <c r="A5" s="36" t="s">
        <v>56</v>
      </c>
      <c r="B5" s="97">
        <v>40</v>
      </c>
      <c r="C5" s="31"/>
      <c r="D5" s="31"/>
      <c r="E5" s="115" t="s">
        <v>4</v>
      </c>
      <c r="F5" s="117"/>
      <c r="G5" s="115" t="s">
        <v>6</v>
      </c>
      <c r="H5" s="117"/>
      <c r="J5" s="9" t="s">
        <v>9</v>
      </c>
      <c r="K5" s="12">
        <f>B7+(2*(B10+B12))</f>
        <v>390</v>
      </c>
    </row>
    <row r="6" spans="1:11" ht="15" thickBot="1">
      <c r="A6" s="14"/>
      <c r="B6" s="31"/>
      <c r="C6" s="31"/>
      <c r="D6" s="31"/>
      <c r="E6" s="99">
        <f>IF(LEFT(B9,2)="CG",10,20)</f>
        <v>10</v>
      </c>
      <c r="F6" s="100">
        <f>IF(B9="RW/MW Type I",
_xlfn.XLOOKUP(E6,Insulation!C:C,Insulation!D:D),
IF(B9="RW/MW Type II/III/IV/V",_xlfn.XLOOKUP(E6,Insulation!F:F,Insulation!G:G),
IF(B9="CG Type I Block",_xlfn.XLOOKUP(E6,Insulation!J:J,Insulation!K:K),
IF(B9="CG Type II Pipe",_xlfn.XLOOKUP(E6,Insulation!M:M,Insulation!N:N),
IF(B9="Calcium Silicate Type I",_xlfn.XLOOKUP(E6,Insulation!P:P,Insulation!Q:Q),"")))))</f>
        <v>4.2999999999999997E-2</v>
      </c>
      <c r="G6" s="99">
        <f>IF(LEFT(B11,2)="CG",10,20)</f>
        <v>10</v>
      </c>
      <c r="H6" s="95">
        <f>IF(B11="RW/MW Type I",
_xlfn.XLOOKUP(G6,Insulation!C:C,Insulation!D:D),
IF(B11="RW/MW Type II/III/IV/V",_xlfn.XLOOKUP(G6,Insulation!F:F,Insulation!G:G),
IF(B11="CG Type I Block",_xlfn.XLOOKUP(G6,Insulation!J:J,Insulation!K:K),
IF(B11="CG Type II Pipe",_xlfn.XLOOKUP(G6,Insulation!M:M,Insulation!N:N),
IF(B11="Calcium Silicate Type I",_xlfn.XLOOKUP(G6,Insulation!P:P,Insulation!Q:Q),"")))))</f>
        <v>4.5999999999999999E-2</v>
      </c>
    </row>
    <row r="7" spans="1:11" ht="15" thickBot="1">
      <c r="A7" s="10" t="s">
        <v>10</v>
      </c>
      <c r="B7" s="98">
        <v>250</v>
      </c>
      <c r="C7" s="31"/>
      <c r="D7" s="31"/>
      <c r="E7" s="101">
        <v>204</v>
      </c>
      <c r="F7" s="102">
        <f>IF(B9="RW/MW Type I",
_xlfn.XLOOKUP(E7,Insulation!C:C,Insulation!D:D),
IF(B9="RW/MW Type II/III/IV/V",_xlfn.XLOOKUP(E7,Insulation!F:F,Insulation!G:G),
IF(B9="CG Type I Block",_xlfn.XLOOKUP(E7,Insulation!J:J,Insulation!K:K),
IF(B9="CG Type II Pipe",_xlfn.XLOOKUP(E7,Insulation!M:M,Insulation!N:N),
IF(B9="Calcium Silicate Type I",_xlfn.XLOOKUP(E7,Insulation!P:P,Insulation!Q:Q),"")))))</f>
        <v>8.4000000000000005E-2</v>
      </c>
      <c r="G7" s="101">
        <v>204</v>
      </c>
      <c r="H7" s="103">
        <f>IF(B11="RW/MW Type I",
_xlfn.XLOOKUP(G7,Insulation!C:C,Insulation!D:D),
IF(B11="RW/MW Type II/III/IV/V",_xlfn.XLOOKUP(G7,Insulation!F:F,Insulation!G:G),
IF(B11="CG Type I Block",_xlfn.XLOOKUP(G7,Insulation!J:J,Insulation!K:K),
IF(B11="CG Type II Pipe",_xlfn.XLOOKUP(G7,Insulation!M:M,Insulation!N:N),
IF(B11="Calcium Silicate Type I",_xlfn.XLOOKUP(G7,Insulation!P:P,Insulation!Q:Q),"")))))</f>
        <v>9.0999999999999998E-2</v>
      </c>
    </row>
    <row r="8" spans="1:11" ht="15" thickBot="1">
      <c r="A8" s="14"/>
      <c r="B8" s="31"/>
      <c r="C8" s="31"/>
      <c r="D8" s="31"/>
      <c r="E8" s="31"/>
      <c r="F8" s="31"/>
      <c r="G8" s="31"/>
      <c r="H8" s="15"/>
      <c r="J8" s="8" t="s">
        <v>15</v>
      </c>
      <c r="K8" s="25">
        <f ca="1">((B4-B30)/(LN(B7/K4)))*LN((B7+B10)/K4)+B30</f>
        <v>284.97857735930404</v>
      </c>
    </row>
    <row r="9" spans="1:11" ht="15" thickBot="1">
      <c r="A9" s="35" t="s">
        <v>72</v>
      </c>
      <c r="B9" s="91" t="s">
        <v>69</v>
      </c>
      <c r="C9" s="31"/>
      <c r="D9" s="31"/>
      <c r="E9" s="31"/>
      <c r="F9" s="31"/>
      <c r="G9" s="31"/>
      <c r="H9" s="15"/>
      <c r="J9" s="14"/>
      <c r="K9" s="74"/>
    </row>
    <row r="10" spans="1:11" ht="15" thickBot="1">
      <c r="A10" s="92" t="s">
        <v>5</v>
      </c>
      <c r="B10" s="93">
        <v>50</v>
      </c>
      <c r="C10" s="31"/>
      <c r="D10" s="31"/>
      <c r="E10" s="31"/>
      <c r="F10" s="31"/>
      <c r="G10" s="22" t="s">
        <v>24</v>
      </c>
      <c r="H10" s="23" t="s">
        <v>23</v>
      </c>
      <c r="J10" s="9" t="s">
        <v>18</v>
      </c>
      <c r="K10" s="16">
        <f ca="1">(B30-B31)/LN(K4/K5)*LN((K4+B12)/K5)+B31</f>
        <v>141.37631254562126</v>
      </c>
    </row>
    <row r="11" spans="1:11" ht="15" thickBot="1">
      <c r="A11" s="92" t="s">
        <v>73</v>
      </c>
      <c r="B11" s="93" t="s">
        <v>70</v>
      </c>
      <c r="C11" s="31"/>
      <c r="D11" s="31"/>
      <c r="E11" s="31"/>
      <c r="F11" s="31"/>
      <c r="G11" s="75"/>
      <c r="H11" s="76"/>
      <c r="J11" s="31"/>
      <c r="K11" s="7"/>
    </row>
    <row r="12" spans="1:11" ht="15" thickBot="1">
      <c r="A12" s="36" t="s">
        <v>7</v>
      </c>
      <c r="B12" s="94">
        <v>20</v>
      </c>
      <c r="C12" s="31"/>
      <c r="D12" s="31"/>
      <c r="E12" s="118" t="s">
        <v>54</v>
      </c>
      <c r="F12" s="119"/>
      <c r="G12" s="51">
        <f ca="1">K8</f>
        <v>284.97857735930404</v>
      </c>
      <c r="H12" s="52">
        <f ca="1">(F7-F6)/(E7-E6)*(G12-E6)+F6</f>
        <v>0.10111402923572921</v>
      </c>
    </row>
    <row r="13" spans="1:11" ht="17.25" customHeight="1" thickBot="1">
      <c r="A13" s="14"/>
      <c r="B13" s="31"/>
      <c r="C13" s="31"/>
      <c r="D13" s="31"/>
      <c r="E13" s="120" t="s">
        <v>55</v>
      </c>
      <c r="F13" s="121"/>
      <c r="G13" s="55">
        <f ca="1">K10</f>
        <v>141.37631254562126</v>
      </c>
      <c r="H13" s="56">
        <f ca="1">(H7-H6)/(G7-G6)*(G13-G6)+H6</f>
        <v>7.6473886930685339E-2</v>
      </c>
      <c r="J13" s="10" t="s">
        <v>16</v>
      </c>
      <c r="K13" s="26">
        <f ca="1">B23*B22+B5</f>
        <v>97.464066797935089</v>
      </c>
    </row>
    <row r="14" spans="1:11" ht="15" thickBot="1">
      <c r="A14" s="27" t="s">
        <v>1</v>
      </c>
      <c r="B14" s="95">
        <v>0.12</v>
      </c>
      <c r="C14" s="31"/>
      <c r="D14" s="31"/>
      <c r="E14" s="31"/>
      <c r="F14" s="31"/>
      <c r="G14" s="31"/>
      <c r="H14" s="15"/>
    </row>
    <row r="15" spans="1:11" ht="15" thickBot="1">
      <c r="A15" s="28" t="s">
        <v>0</v>
      </c>
      <c r="B15" s="29">
        <v>5.6699999999999998E-8</v>
      </c>
      <c r="C15" s="31"/>
      <c r="D15" s="8"/>
      <c r="E15" s="30"/>
      <c r="F15" s="30"/>
      <c r="G15" s="30"/>
      <c r="H15" s="13"/>
    </row>
    <row r="16" spans="1:11" ht="15" thickBot="1">
      <c r="A16" s="14"/>
      <c r="B16" s="31"/>
      <c r="C16" s="31"/>
      <c r="D16" s="14"/>
      <c r="E16" s="31"/>
      <c r="F16" s="31"/>
      <c r="G16" s="31"/>
      <c r="H16" s="15"/>
    </row>
    <row r="17" spans="1:8">
      <c r="A17" s="8" t="s">
        <v>40</v>
      </c>
      <c r="B17" s="62">
        <f ca="1">LN(K4/B7)/(2*PI()*H12)</f>
        <v>0.52961216238952191</v>
      </c>
      <c r="C17" s="31"/>
      <c r="D17" s="14"/>
      <c r="E17" s="31"/>
      <c r="F17" s="7"/>
      <c r="G17" s="31"/>
      <c r="H17" s="15"/>
    </row>
    <row r="18" spans="1:8">
      <c r="A18" s="14" t="s">
        <v>41</v>
      </c>
      <c r="B18" s="63">
        <f ca="1">LN(K5/K4)/(2*PI()*H13)</f>
        <v>0.22521056005426587</v>
      </c>
      <c r="C18" s="31"/>
      <c r="D18" s="14"/>
      <c r="E18" s="31"/>
      <c r="F18" s="7"/>
      <c r="G18" s="31"/>
      <c r="H18" s="15"/>
    </row>
    <row r="19" spans="1:8">
      <c r="A19" s="14" t="s">
        <v>39</v>
      </c>
      <c r="B19" s="63">
        <f ca="1">1/(PI()*(K5/1000)*B20)</f>
        <v>0.17747151277893278</v>
      </c>
      <c r="C19" s="31"/>
      <c r="D19" s="14"/>
      <c r="E19" s="31"/>
      <c r="F19" s="31"/>
      <c r="G19" s="31"/>
      <c r="H19" s="15"/>
    </row>
    <row r="20" spans="1:8">
      <c r="A20" s="14" t="s">
        <v>36</v>
      </c>
      <c r="B20" s="63">
        <f ca="1">1.32*(((B31-B5)/(K5/1000))^0.25)</f>
        <v>4.5989307387434808</v>
      </c>
      <c r="C20" s="31"/>
      <c r="D20" s="14"/>
      <c r="E20" s="32"/>
      <c r="F20" s="31"/>
      <c r="G20" s="31"/>
      <c r="H20" s="15"/>
    </row>
    <row r="21" spans="1:8">
      <c r="A21" s="14" t="s">
        <v>37</v>
      </c>
      <c r="B21" s="63">
        <f ca="1">1/(B15*B14*(((B31+273)^2)+((B5+273)^2))*((B31+273)+(B5+273))*(PI()*(K5/1000)))</f>
        <v>0.7461822270601286</v>
      </c>
      <c r="C21" s="31"/>
      <c r="D21" s="14"/>
      <c r="E21" s="31"/>
      <c r="F21" s="31"/>
      <c r="G21" s="31"/>
      <c r="H21" s="15"/>
    </row>
    <row r="22" spans="1:8">
      <c r="A22" s="14" t="s">
        <v>38</v>
      </c>
      <c r="B22" s="63">
        <f ca="1">B19*B21/(B19+B21)</f>
        <v>0.14337200504183334</v>
      </c>
      <c r="C22" s="31"/>
      <c r="D22" s="14"/>
      <c r="E22" s="31"/>
      <c r="F22" s="31"/>
      <c r="G22" s="31"/>
      <c r="H22" s="15"/>
    </row>
    <row r="23" spans="1:8" ht="15" thickBot="1">
      <c r="A23" s="9" t="s">
        <v>35</v>
      </c>
      <c r="B23" s="64">
        <f ca="1">(B4-B5)/(B22+B17+B18)</f>
        <v>400.8039559615018</v>
      </c>
      <c r="C23" s="31"/>
      <c r="D23" s="14"/>
      <c r="E23" s="31"/>
      <c r="F23" s="31"/>
      <c r="G23" s="31"/>
      <c r="H23" s="15"/>
    </row>
    <row r="24" spans="1:8" ht="15" thickBot="1">
      <c r="A24" s="14"/>
      <c r="B24" s="65"/>
      <c r="C24" s="31"/>
      <c r="D24" s="14"/>
      <c r="E24" s="31"/>
      <c r="F24" s="31"/>
      <c r="G24" s="31"/>
      <c r="H24" s="15"/>
    </row>
    <row r="25" spans="1:8">
      <c r="A25" s="8" t="s">
        <v>11</v>
      </c>
      <c r="B25" s="66">
        <f ca="1">(B31-B5)/B19</f>
        <v>323.79318742983088</v>
      </c>
      <c r="C25" s="31"/>
      <c r="D25" s="14"/>
      <c r="E25" s="31"/>
      <c r="F25" s="31"/>
      <c r="G25" s="31"/>
      <c r="H25" s="15"/>
    </row>
    <row r="26" spans="1:8">
      <c r="A26" s="14" t="s">
        <v>12</v>
      </c>
      <c r="B26" s="67">
        <f ca="1">(B31-B5)/B21</f>
        <v>77.010768572023437</v>
      </c>
      <c r="C26" s="31"/>
      <c r="D26" s="14"/>
      <c r="E26" s="31"/>
      <c r="F26" s="31"/>
      <c r="G26" s="31"/>
      <c r="H26" s="15"/>
    </row>
    <row r="27" spans="1:8">
      <c r="A27" s="14" t="s">
        <v>14</v>
      </c>
      <c r="B27" s="67">
        <f ca="1">B25+B26</f>
        <v>400.80395600185432</v>
      </c>
      <c r="C27" s="31"/>
      <c r="D27" s="14"/>
      <c r="E27" s="31"/>
      <c r="F27" s="31"/>
      <c r="G27" s="31"/>
      <c r="H27" s="15"/>
    </row>
    <row r="28" spans="1:8" ht="15" thickBot="1">
      <c r="A28" s="9" t="s">
        <v>13</v>
      </c>
      <c r="B28" s="64">
        <f ca="1">(B4-B31)/(B17+B18)</f>
        <v>400.8039559538372</v>
      </c>
      <c r="C28" s="31"/>
      <c r="D28" s="9"/>
      <c r="E28" s="33"/>
      <c r="F28" s="33"/>
      <c r="G28" s="33"/>
      <c r="H28" s="34"/>
    </row>
    <row r="29" spans="1:8" ht="15" thickBot="1">
      <c r="A29" s="14"/>
      <c r="B29" s="65"/>
      <c r="C29" s="31"/>
      <c r="D29" s="31"/>
      <c r="E29" s="31"/>
      <c r="F29" s="31"/>
      <c r="G29" s="31"/>
      <c r="H29" s="15"/>
    </row>
    <row r="30" spans="1:8" ht="15" thickBot="1">
      <c r="A30" s="17" t="s">
        <v>17</v>
      </c>
      <c r="B30" s="68">
        <f ca="1">(B18*B4+B17*B31)/(B17+B18)</f>
        <v>187.72935019301357</v>
      </c>
      <c r="C30" s="31"/>
      <c r="D30" s="31"/>
      <c r="E30" s="31"/>
      <c r="F30" s="31"/>
      <c r="G30" s="31"/>
      <c r="H30" s="15"/>
    </row>
    <row r="31" spans="1:8" ht="15" thickBot="1">
      <c r="A31" s="18" t="s">
        <v>57</v>
      </c>
      <c r="B31" s="69">
        <f ca="1">IF(H31="",K13,H31)</f>
        <v>97.464066797935089</v>
      </c>
      <c r="C31" s="33"/>
      <c r="D31" s="33"/>
      <c r="E31" s="33"/>
      <c r="F31" s="24" t="s">
        <v>27</v>
      </c>
      <c r="G31" s="73"/>
      <c r="H31" s="61"/>
    </row>
    <row r="33" spans="1:1">
      <c r="A33" s="72" t="s">
        <v>52</v>
      </c>
    </row>
  </sheetData>
  <mergeCells count="6">
    <mergeCell ref="B2:H2"/>
    <mergeCell ref="E4:H4"/>
    <mergeCell ref="E12:F12"/>
    <mergeCell ref="E13:F13"/>
    <mergeCell ref="E5:F5"/>
    <mergeCell ref="G5:H5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F12047-CDF4-4DD5-BA1D-430CA1FDF41F}">
          <x14:formula1>
            <xm:f>Insulation!$A$2:$A$6</xm:f>
          </x14:formula1>
          <xm:sqref>B9 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EDDE9-C3A6-46CB-BAF1-913E96A03BBB}">
  <sheetPr codeName="Sheet4"/>
  <dimension ref="A1:I5"/>
  <sheetViews>
    <sheetView tabSelected="1" workbookViewId="0">
      <selection activeCell="E12" sqref="E12"/>
    </sheetView>
  </sheetViews>
  <sheetFormatPr defaultRowHeight="14.4"/>
  <cols>
    <col min="1" max="1" width="21.44140625" customWidth="1"/>
  </cols>
  <sheetData>
    <row r="1" spans="1:9" s="105" customFormat="1" ht="96" customHeight="1">
      <c r="A1" s="104" t="s">
        <v>75</v>
      </c>
      <c r="B1" s="104" t="s">
        <v>76</v>
      </c>
      <c r="C1" s="104" t="s">
        <v>77</v>
      </c>
      <c r="D1" s="104" t="s">
        <v>78</v>
      </c>
      <c r="E1" s="104" t="s">
        <v>79</v>
      </c>
      <c r="F1" s="104" t="s">
        <v>80</v>
      </c>
      <c r="G1" s="126" t="s">
        <v>81</v>
      </c>
      <c r="H1" s="126" t="s">
        <v>82</v>
      </c>
      <c r="I1" s="126" t="s">
        <v>83</v>
      </c>
    </row>
    <row r="2" spans="1:9" s="109" customFormat="1" ht="13.2">
      <c r="A2" s="106"/>
      <c r="B2" s="106"/>
      <c r="C2" s="107" t="s">
        <v>84</v>
      </c>
      <c r="D2" s="107" t="s">
        <v>85</v>
      </c>
      <c r="E2" s="107" t="s">
        <v>85</v>
      </c>
      <c r="F2" s="107" t="s">
        <v>84</v>
      </c>
      <c r="G2" s="108" t="s">
        <v>84</v>
      </c>
      <c r="H2" s="108" t="s">
        <v>85</v>
      </c>
      <c r="I2" s="108" t="s">
        <v>85</v>
      </c>
    </row>
    <row r="3" spans="1:9" s="110" customFormat="1" ht="12.75" customHeight="1">
      <c r="A3" s="110" t="s">
        <v>86</v>
      </c>
      <c r="B3" s="110">
        <v>50</v>
      </c>
      <c r="C3" s="111">
        <v>170</v>
      </c>
      <c r="D3" s="110">
        <v>40</v>
      </c>
      <c r="E3" s="110">
        <v>40</v>
      </c>
      <c r="F3" s="110">
        <v>37</v>
      </c>
    </row>
    <row r="4" spans="1:9" s="110" customFormat="1" ht="12.75" customHeight="1">
      <c r="A4" s="110" t="s">
        <v>87</v>
      </c>
      <c r="B4" s="110">
        <v>100</v>
      </c>
      <c r="C4" s="111">
        <v>170</v>
      </c>
      <c r="D4" s="110">
        <v>50</v>
      </c>
      <c r="E4" s="110">
        <v>50</v>
      </c>
      <c r="F4" s="110">
        <v>37</v>
      </c>
    </row>
    <row r="5" spans="1:9" s="110" customFormat="1" ht="12.75" customHeight="1">
      <c r="A5" s="110" t="s">
        <v>88</v>
      </c>
      <c r="B5" s="110">
        <v>150</v>
      </c>
      <c r="C5" s="111">
        <v>170</v>
      </c>
      <c r="D5" s="110">
        <v>50</v>
      </c>
      <c r="E5" s="110">
        <v>50</v>
      </c>
      <c r="F5" s="110">
        <v>37</v>
      </c>
    </row>
  </sheetData>
  <dataValidations count="2">
    <dataValidation type="textLength" errorStyle="warning" allowBlank="1" showInputMessage="1" showErrorMessage="1" errorTitle="Line ID is too long" error="Line ID can consist of max. 30 characters. Adjust before proceeding." sqref="A1:A2 B2" xr:uid="{6CF88222-2303-4C3F-B08E-4B6E679BA385}">
      <formula1>0</formula1>
      <formula2>30</formula2>
    </dataValidation>
    <dataValidation type="textLength" errorStyle="warning" allowBlank="1" showInputMessage="1" errorTitle="Line ID is too long" error="Line ID can consist of max. 30 characters. Adjust before proceeding." sqref="A3:A5" xr:uid="{541C6940-C47F-4C93-98B4-C80F581C2EA5}">
      <formula1>0</formula1>
      <formula2>30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">
                <anchor moveWithCells="1" sizeWithCells="1">
                  <from>
                    <xdr:col>9</xdr:col>
                    <xdr:colOff>533400</xdr:colOff>
                    <xdr:row>0</xdr:row>
                    <xdr:rowOff>457200</xdr:rowOff>
                  </from>
                  <to>
                    <xdr:col>11</xdr:col>
                    <xdr:colOff>350520</xdr:colOff>
                    <xdr:row>0</xdr:row>
                    <xdr:rowOff>922020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A5D71-B695-4A8C-A4FF-6043CA12FF5B}">
  <sheetPr codeName="Sheet5"/>
  <dimension ref="A1:Q14"/>
  <sheetViews>
    <sheetView workbookViewId="0">
      <selection activeCell="B10" sqref="B10"/>
    </sheetView>
  </sheetViews>
  <sheetFormatPr defaultRowHeight="14.4"/>
  <cols>
    <col min="1" max="1" width="22.109375" customWidth="1"/>
    <col min="3" max="3" width="16.44140625" customWidth="1"/>
    <col min="6" max="6" width="16.44140625" customWidth="1"/>
    <col min="10" max="10" width="16.44140625" customWidth="1"/>
    <col min="12" max="12" width="9.44140625" customWidth="1"/>
    <col min="13" max="13" width="16.44140625" customWidth="1"/>
    <col min="16" max="16" width="16.44140625" customWidth="1"/>
  </cols>
  <sheetData>
    <row r="1" spans="1:17" s="77" customFormat="1" ht="65.25" customHeight="1">
      <c r="A1" s="127" t="s">
        <v>58</v>
      </c>
      <c r="B1" s="127"/>
      <c r="C1" s="128" t="s">
        <v>59</v>
      </c>
      <c r="D1" s="129"/>
      <c r="E1" s="127"/>
      <c r="F1" s="128" t="s">
        <v>60</v>
      </c>
      <c r="G1" s="128" t="s">
        <v>61</v>
      </c>
      <c r="H1" s="128" t="s">
        <v>89</v>
      </c>
      <c r="I1" s="127"/>
      <c r="J1" s="128" t="s">
        <v>62</v>
      </c>
      <c r="K1" s="129"/>
      <c r="L1" s="127"/>
      <c r="M1" s="128" t="s">
        <v>63</v>
      </c>
      <c r="N1" s="129"/>
      <c r="O1" s="127"/>
      <c r="P1" s="128" t="s">
        <v>64</v>
      </c>
      <c r="Q1" s="78"/>
    </row>
    <row r="2" spans="1:17" ht="30.6">
      <c r="A2" t="s">
        <v>65</v>
      </c>
      <c r="C2" s="79" t="s">
        <v>66</v>
      </c>
      <c r="D2" s="80" t="s">
        <v>67</v>
      </c>
      <c r="F2" s="79" t="s">
        <v>66</v>
      </c>
      <c r="G2" s="80" t="s">
        <v>67</v>
      </c>
      <c r="J2" s="79" t="s">
        <v>66</v>
      </c>
      <c r="K2" s="80" t="s">
        <v>67</v>
      </c>
      <c r="M2" s="79" t="s">
        <v>66</v>
      </c>
      <c r="N2" s="80" t="s">
        <v>67</v>
      </c>
      <c r="P2" s="79" t="s">
        <v>66</v>
      </c>
      <c r="Q2" s="80" t="s">
        <v>67</v>
      </c>
    </row>
    <row r="3" spans="1:17">
      <c r="A3" t="s">
        <v>68</v>
      </c>
      <c r="C3" s="81">
        <v>-100</v>
      </c>
      <c r="D3" s="82">
        <v>1.4999999999999999E-2</v>
      </c>
      <c r="F3" s="81">
        <v>-100</v>
      </c>
      <c r="G3" s="82">
        <v>1.4999999999999999E-2</v>
      </c>
      <c r="J3" s="81">
        <v>-157</v>
      </c>
      <c r="K3" s="82">
        <v>2.3E-2</v>
      </c>
      <c r="M3" s="81">
        <v>-101</v>
      </c>
      <c r="N3" s="82">
        <v>0.03</v>
      </c>
      <c r="P3" s="81">
        <v>-100</v>
      </c>
      <c r="Q3" s="82">
        <v>4.2700000000000002E-2</v>
      </c>
    </row>
    <row r="4" spans="1:17">
      <c r="A4" t="s">
        <v>69</v>
      </c>
      <c r="C4" s="83">
        <v>-20</v>
      </c>
      <c r="D4" s="84">
        <v>2.7E-2</v>
      </c>
      <c r="F4" s="83">
        <v>-20</v>
      </c>
      <c r="G4" s="84">
        <v>2.7E-2</v>
      </c>
      <c r="J4" s="83">
        <v>-129</v>
      </c>
      <c r="K4" s="84">
        <v>2.5000000000000001E-2</v>
      </c>
      <c r="M4" s="83">
        <v>-73</v>
      </c>
      <c r="N4" s="84">
        <v>3.3000000000000002E-2</v>
      </c>
      <c r="P4" s="83">
        <v>-20</v>
      </c>
      <c r="Q4" s="84">
        <v>5.21E-2</v>
      </c>
    </row>
    <row r="5" spans="1:17">
      <c r="A5" t="s">
        <v>70</v>
      </c>
      <c r="C5" s="85">
        <v>0</v>
      </c>
      <c r="D5" s="86">
        <v>0.03</v>
      </c>
      <c r="F5" s="85">
        <v>0</v>
      </c>
      <c r="G5" s="86">
        <v>0.03</v>
      </c>
      <c r="J5" s="85">
        <v>-101</v>
      </c>
      <c r="K5" s="86">
        <v>2.7E-2</v>
      </c>
      <c r="M5" s="85">
        <v>-46</v>
      </c>
      <c r="N5" s="86">
        <v>3.6999999999999998E-2</v>
      </c>
      <c r="P5" s="85">
        <v>0</v>
      </c>
      <c r="Q5" s="86">
        <v>5.4399999999999997E-2</v>
      </c>
    </row>
    <row r="6" spans="1:17">
      <c r="A6" t="s">
        <v>71</v>
      </c>
      <c r="C6" s="83">
        <v>20</v>
      </c>
      <c r="D6" s="84">
        <v>3.3000000000000002E-2</v>
      </c>
      <c r="F6" s="83">
        <v>20</v>
      </c>
      <c r="G6" s="84">
        <v>3.3000000000000002E-2</v>
      </c>
      <c r="J6" s="83">
        <v>-73</v>
      </c>
      <c r="K6" s="84">
        <v>3.1E-2</v>
      </c>
      <c r="M6" s="83">
        <v>-18</v>
      </c>
      <c r="N6" s="84">
        <v>4.2000000000000003E-2</v>
      </c>
      <c r="P6" s="83">
        <v>20</v>
      </c>
      <c r="Q6" s="84">
        <v>5.67E-2</v>
      </c>
    </row>
    <row r="7" spans="1:17">
      <c r="C7" s="85">
        <v>38</v>
      </c>
      <c r="D7" s="86">
        <v>3.5999999999999997E-2</v>
      </c>
      <c r="F7" s="85">
        <v>38</v>
      </c>
      <c r="G7" s="86">
        <v>3.5999999999999997E-2</v>
      </c>
      <c r="J7" s="85">
        <v>-46</v>
      </c>
      <c r="K7" s="86">
        <v>3.4000000000000002E-2</v>
      </c>
      <c r="M7" s="85">
        <v>10</v>
      </c>
      <c r="N7" s="86">
        <v>4.5999999999999999E-2</v>
      </c>
      <c r="P7" s="85">
        <v>38</v>
      </c>
      <c r="Q7" s="86">
        <v>5.8999999999999997E-2</v>
      </c>
    </row>
    <row r="8" spans="1:17">
      <c r="C8" s="83">
        <v>93</v>
      </c>
      <c r="D8" s="84">
        <v>4.4999999999999998E-2</v>
      </c>
      <c r="F8" s="83">
        <v>93</v>
      </c>
      <c r="G8" s="84">
        <v>4.4999999999999998E-2</v>
      </c>
      <c r="J8" s="83">
        <v>-18</v>
      </c>
      <c r="K8" s="84">
        <v>3.7999999999999999E-2</v>
      </c>
      <c r="M8" s="83">
        <v>24</v>
      </c>
      <c r="N8" s="84">
        <v>4.9000000000000002E-2</v>
      </c>
      <c r="P8" s="83">
        <v>93</v>
      </c>
      <c r="Q8" s="84">
        <v>6.5000000000000002E-2</v>
      </c>
    </row>
    <row r="9" spans="1:17">
      <c r="C9" s="85">
        <v>149</v>
      </c>
      <c r="D9" s="86">
        <v>5.8000000000000003E-2</v>
      </c>
      <c r="F9" s="85">
        <v>149</v>
      </c>
      <c r="G9" s="86">
        <v>5.2999999999999999E-2</v>
      </c>
      <c r="J9" s="85">
        <v>10</v>
      </c>
      <c r="K9" s="86">
        <v>4.2999999999999997E-2</v>
      </c>
      <c r="M9" s="85">
        <v>38</v>
      </c>
      <c r="N9" s="86">
        <v>0.05</v>
      </c>
      <c r="P9" s="85">
        <v>149</v>
      </c>
      <c r="Q9" s="86">
        <v>7.1999999999999995E-2</v>
      </c>
    </row>
    <row r="10" spans="1:17">
      <c r="C10" s="83">
        <v>204</v>
      </c>
      <c r="D10" s="84">
        <v>7.3999999999999996E-2</v>
      </c>
      <c r="F10" s="83">
        <v>204</v>
      </c>
      <c r="G10" s="84">
        <v>6.5000000000000002E-2</v>
      </c>
      <c r="J10" s="83">
        <v>24</v>
      </c>
      <c r="K10" s="84">
        <v>4.4999999999999998E-2</v>
      </c>
      <c r="M10" s="83">
        <v>93</v>
      </c>
      <c r="N10" s="84">
        <v>6.2E-2</v>
      </c>
      <c r="P10" s="83">
        <v>204</v>
      </c>
      <c r="Q10" s="84">
        <v>7.9000000000000001E-2</v>
      </c>
    </row>
    <row r="11" spans="1:17">
      <c r="C11" s="87">
        <v>260</v>
      </c>
      <c r="D11" s="88">
        <v>9.1999999999999998E-2</v>
      </c>
      <c r="F11" s="85">
        <v>260</v>
      </c>
      <c r="G11" s="86">
        <v>7.8E-2</v>
      </c>
      <c r="J11" s="85">
        <v>38</v>
      </c>
      <c r="K11" s="86">
        <v>4.7E-2</v>
      </c>
      <c r="M11" s="85">
        <v>149</v>
      </c>
      <c r="N11" s="86">
        <v>7.4999999999999997E-2</v>
      </c>
      <c r="P11" s="85">
        <v>260</v>
      </c>
      <c r="Q11" s="86">
        <v>8.6999999999999994E-2</v>
      </c>
    </row>
    <row r="12" spans="1:17">
      <c r="F12" s="83">
        <v>316</v>
      </c>
      <c r="G12" s="84">
        <v>9.4E-2</v>
      </c>
      <c r="J12" s="83">
        <v>93</v>
      </c>
      <c r="K12" s="84">
        <v>5.8000000000000003E-2</v>
      </c>
      <c r="M12" s="89">
        <v>204</v>
      </c>
      <c r="N12" s="90">
        <v>9.0999999999999998E-2</v>
      </c>
      <c r="P12" s="83">
        <v>316</v>
      </c>
      <c r="Q12" s="84">
        <v>9.5000000000000001E-2</v>
      </c>
    </row>
    <row r="13" spans="1:17">
      <c r="F13" s="87">
        <v>371</v>
      </c>
      <c r="G13" s="88">
        <v>0.111</v>
      </c>
      <c r="J13" s="85">
        <v>149</v>
      </c>
      <c r="K13" s="86">
        <v>7.0000000000000007E-2</v>
      </c>
      <c r="P13" s="87">
        <v>371</v>
      </c>
      <c r="Q13" s="88">
        <v>0.10199999999999999</v>
      </c>
    </row>
    <row r="14" spans="1:17">
      <c r="J14" s="89">
        <v>204</v>
      </c>
      <c r="K14" s="90">
        <v>8.4000000000000005E-2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3"/>
  <sheetViews>
    <sheetView workbookViewId="0">
      <selection activeCell="Q13" sqref="Q13"/>
    </sheetView>
  </sheetViews>
  <sheetFormatPr defaultRowHeight="14.4"/>
  <cols>
    <col min="1" max="1" width="11.6640625" customWidth="1"/>
    <col min="3" max="3" width="16.6640625" customWidth="1"/>
    <col min="4" max="4" width="10.6640625" customWidth="1"/>
  </cols>
  <sheetData>
    <row r="1" spans="1:13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1"/>
    </row>
    <row r="2" spans="1:13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31"/>
    </row>
    <row r="3" spans="1:13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31"/>
    </row>
    <row r="4" spans="1:13" ht="18">
      <c r="A4" s="65"/>
      <c r="B4" s="65"/>
      <c r="C4" s="70" t="s">
        <v>32</v>
      </c>
      <c r="D4" s="70"/>
      <c r="E4" s="65"/>
      <c r="F4" s="65"/>
      <c r="G4" s="65"/>
      <c r="H4" s="65"/>
      <c r="I4" s="65"/>
      <c r="J4" s="65"/>
      <c r="K4" s="65"/>
      <c r="L4" s="65"/>
      <c r="M4" s="31"/>
    </row>
    <row r="5" spans="1:13" ht="18">
      <c r="A5" s="65"/>
      <c r="B5" s="70"/>
      <c r="C5" s="65"/>
      <c r="D5" s="70"/>
      <c r="E5" s="65"/>
      <c r="F5" s="65"/>
      <c r="G5" s="65"/>
      <c r="H5" s="65"/>
      <c r="I5" s="65"/>
      <c r="J5" s="65"/>
      <c r="K5" s="65"/>
      <c r="L5" s="65"/>
      <c r="M5" s="31"/>
    </row>
    <row r="6" spans="1:13" ht="18">
      <c r="A6" s="65" t="s">
        <v>26</v>
      </c>
      <c r="B6" s="65" t="str">
        <f>IF('Input Data'!B2=0,"No ID",'Input Data'!B2)</f>
        <v>Pipeline with Double Insulation</v>
      </c>
      <c r="C6" s="65"/>
      <c r="D6" s="70"/>
      <c r="E6" s="65"/>
      <c r="F6" s="65"/>
      <c r="G6" s="65"/>
      <c r="H6" s="65"/>
      <c r="I6" s="65"/>
      <c r="J6" s="65"/>
      <c r="K6" s="65"/>
      <c r="L6" s="65"/>
      <c r="M6" s="31"/>
    </row>
    <row r="7" spans="1:13" ht="15" thickBot="1">
      <c r="A7" s="65"/>
      <c r="B7" s="65"/>
      <c r="C7" s="65"/>
      <c r="D7" s="65"/>
      <c r="E7" s="65"/>
      <c r="F7" s="65"/>
      <c r="G7" s="65"/>
      <c r="H7" s="122" t="s">
        <v>28</v>
      </c>
      <c r="I7" s="122"/>
      <c r="J7" s="122"/>
      <c r="K7" s="122"/>
      <c r="L7" s="65"/>
      <c r="M7" s="31"/>
    </row>
    <row r="8" spans="1:13" ht="15" thickBot="1">
      <c r="A8" s="37" t="s">
        <v>25</v>
      </c>
      <c r="B8" s="38"/>
      <c r="C8" s="38"/>
      <c r="D8" s="39">
        <f>'Input Data'!B4</f>
        <v>400</v>
      </c>
      <c r="E8" s="65"/>
      <c r="F8" s="65"/>
      <c r="G8" s="65"/>
      <c r="H8" s="124" t="s">
        <v>4</v>
      </c>
      <c r="I8" s="125"/>
      <c r="J8" s="124" t="s">
        <v>6</v>
      </c>
      <c r="K8" s="125"/>
      <c r="L8" s="65"/>
      <c r="M8" s="31"/>
    </row>
    <row r="9" spans="1:13" ht="15" thickBot="1">
      <c r="A9" s="37" t="s">
        <v>48</v>
      </c>
      <c r="B9" s="38"/>
      <c r="C9" s="38"/>
      <c r="D9" s="39">
        <f>'Input Data'!B5</f>
        <v>40</v>
      </c>
      <c r="E9" s="65"/>
      <c r="F9" s="65"/>
      <c r="G9" s="65"/>
      <c r="H9" s="40">
        <f>'Input Data'!E6</f>
        <v>10</v>
      </c>
      <c r="I9" s="41">
        <f>'Input Data'!F6</f>
        <v>4.2999999999999997E-2</v>
      </c>
      <c r="J9" s="40">
        <f>'Input Data'!G6</f>
        <v>10</v>
      </c>
      <c r="K9" s="42">
        <f>'Input Data'!H6</f>
        <v>4.5999999999999999E-2</v>
      </c>
      <c r="L9" s="65"/>
      <c r="M9" s="31"/>
    </row>
    <row r="10" spans="1:13" ht="15" thickBot="1">
      <c r="A10" s="65"/>
      <c r="B10" s="65"/>
      <c r="C10" s="65"/>
      <c r="D10" s="65"/>
      <c r="E10" s="65"/>
      <c r="F10" s="65"/>
      <c r="G10" s="65"/>
      <c r="H10" s="43">
        <f>'Input Data'!E7</f>
        <v>204</v>
      </c>
      <c r="I10" s="44">
        <f>'Input Data'!F7</f>
        <v>8.4000000000000005E-2</v>
      </c>
      <c r="J10" s="43">
        <f>'Input Data'!G7</f>
        <v>204</v>
      </c>
      <c r="K10" s="45">
        <f>'Input Data'!H7</f>
        <v>9.0999999999999998E-2</v>
      </c>
      <c r="L10" s="65"/>
      <c r="M10" s="31"/>
    </row>
    <row r="11" spans="1:13" ht="15" thickBot="1">
      <c r="A11" s="37" t="s">
        <v>31</v>
      </c>
      <c r="B11" s="38"/>
      <c r="C11" s="38"/>
      <c r="D11" s="46">
        <f>'Input Data'!B7</f>
        <v>250</v>
      </c>
      <c r="E11" s="65"/>
      <c r="F11" s="65"/>
      <c r="G11" s="65"/>
      <c r="H11" s="65"/>
      <c r="I11" s="65"/>
      <c r="J11" s="65"/>
      <c r="K11" s="65"/>
      <c r="L11" s="65"/>
      <c r="M11" s="31"/>
    </row>
    <row r="12" spans="1:13" ht="15" thickBot="1">
      <c r="A12" s="65"/>
      <c r="B12" s="65"/>
      <c r="C12" s="65"/>
      <c r="D12" s="65"/>
      <c r="E12" s="65"/>
      <c r="F12" s="65"/>
      <c r="G12" s="65"/>
      <c r="H12" s="123" t="s">
        <v>53</v>
      </c>
      <c r="I12" s="123"/>
      <c r="J12" s="123"/>
      <c r="K12" s="123"/>
      <c r="L12" s="65"/>
      <c r="M12" s="31"/>
    </row>
    <row r="13" spans="1:13" ht="15" thickBot="1">
      <c r="A13" s="37" t="s">
        <v>33</v>
      </c>
      <c r="B13" s="38"/>
      <c r="C13" s="38"/>
      <c r="D13" s="46">
        <f>'Input Data'!B10</f>
        <v>50</v>
      </c>
      <c r="E13" s="65"/>
      <c r="F13" s="65"/>
      <c r="G13" s="65"/>
      <c r="H13" s="65"/>
      <c r="I13" s="65"/>
      <c r="J13" s="47" t="s">
        <v>24</v>
      </c>
      <c r="K13" s="48" t="s">
        <v>23</v>
      </c>
      <c r="L13" s="65"/>
      <c r="M13" s="31"/>
    </row>
    <row r="14" spans="1:13" ht="15" thickBot="1">
      <c r="A14" s="37" t="s">
        <v>34</v>
      </c>
      <c r="B14" s="38"/>
      <c r="C14" s="38"/>
      <c r="D14" s="46">
        <f>'Input Data'!B12</f>
        <v>20</v>
      </c>
      <c r="E14" s="65"/>
      <c r="F14" s="65"/>
      <c r="G14" s="65"/>
      <c r="H14" s="49" t="s">
        <v>29</v>
      </c>
      <c r="I14" s="50"/>
      <c r="J14" s="51">
        <f ca="1">'Input Data'!G12</f>
        <v>284.97857735930404</v>
      </c>
      <c r="K14" s="52">
        <f ca="1">'Input Data'!H12</f>
        <v>0.10111402923572921</v>
      </c>
      <c r="L14" s="65"/>
      <c r="M14" s="31"/>
    </row>
    <row r="15" spans="1:13" ht="15" thickBot="1">
      <c r="A15" s="65"/>
      <c r="B15" s="65"/>
      <c r="C15" s="65"/>
      <c r="D15" s="65"/>
      <c r="E15" s="65"/>
      <c r="F15" s="65"/>
      <c r="G15" s="65"/>
      <c r="H15" s="53" t="s">
        <v>30</v>
      </c>
      <c r="I15" s="54"/>
      <c r="J15" s="55">
        <f ca="1">'Input Data'!G13</f>
        <v>141.37631254562126</v>
      </c>
      <c r="K15" s="56">
        <f ca="1">'Input Data'!H13</f>
        <v>7.6473886930685339E-2</v>
      </c>
      <c r="L15" s="65"/>
      <c r="M15" s="31"/>
    </row>
    <row r="16" spans="1:13" ht="15" thickBot="1">
      <c r="A16" s="37" t="s">
        <v>51</v>
      </c>
      <c r="B16" s="38"/>
      <c r="C16" s="38"/>
      <c r="D16" s="60">
        <f>'Input Data'!B14</f>
        <v>0.12</v>
      </c>
      <c r="E16" s="65"/>
      <c r="F16" s="65"/>
      <c r="G16" s="65"/>
      <c r="H16" s="65"/>
      <c r="I16" s="65"/>
      <c r="J16" s="65"/>
      <c r="K16" s="65"/>
      <c r="L16" s="65"/>
      <c r="M16" s="31"/>
    </row>
    <row r="17" spans="1:13" ht="15" thickBot="1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31"/>
    </row>
    <row r="18" spans="1:13" ht="15" thickBot="1">
      <c r="A18" s="37" t="s">
        <v>49</v>
      </c>
      <c r="B18" s="38"/>
      <c r="C18" s="38"/>
      <c r="D18" s="57">
        <f ca="1">'Input Data'!B17</f>
        <v>0.52961216238952191</v>
      </c>
      <c r="E18" s="65"/>
      <c r="F18" s="65"/>
      <c r="G18" s="65"/>
      <c r="H18" s="65"/>
      <c r="I18" s="65"/>
      <c r="J18" s="65"/>
      <c r="K18" s="65"/>
      <c r="L18" s="65"/>
      <c r="M18" s="31"/>
    </row>
    <row r="19" spans="1:13" ht="15" thickBot="1">
      <c r="A19" s="37" t="s">
        <v>50</v>
      </c>
      <c r="B19" s="38"/>
      <c r="C19" s="38"/>
      <c r="D19" s="57">
        <f ca="1">'Input Data'!$B$18</f>
        <v>0.22521056005426587</v>
      </c>
      <c r="E19" s="65"/>
      <c r="F19" s="65"/>
      <c r="G19" s="65"/>
      <c r="H19" s="65"/>
      <c r="I19" s="65"/>
      <c r="J19" s="65"/>
      <c r="K19" s="65"/>
      <c r="L19" s="65"/>
      <c r="M19" s="31"/>
    </row>
    <row r="20" spans="1:13" ht="15" thickBot="1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31"/>
    </row>
    <row r="21" spans="1:13" ht="15" thickBot="1">
      <c r="A21" s="37" t="s">
        <v>42</v>
      </c>
      <c r="B21" s="71"/>
      <c r="C21" s="58"/>
      <c r="D21" s="59">
        <f ca="1">'Input Data'!B28</f>
        <v>400.8039559538372</v>
      </c>
      <c r="E21" s="65"/>
      <c r="F21" s="65"/>
      <c r="G21" s="65"/>
      <c r="H21" s="65"/>
      <c r="I21" s="65"/>
      <c r="J21" s="65"/>
      <c r="K21" s="65"/>
      <c r="L21" s="65"/>
      <c r="M21" s="31"/>
    </row>
    <row r="22" spans="1:13" ht="15" thickBot="1">
      <c r="A22" s="37" t="s">
        <v>43</v>
      </c>
      <c r="B22" s="71"/>
      <c r="C22" s="58"/>
      <c r="D22" s="59">
        <f ca="1">'Input Data'!B25</f>
        <v>323.79318742983088</v>
      </c>
      <c r="E22" s="65"/>
      <c r="F22" s="65"/>
      <c r="G22" s="65"/>
      <c r="H22" s="65"/>
      <c r="I22" s="65"/>
      <c r="J22" s="65"/>
      <c r="K22" s="65"/>
      <c r="L22" s="65"/>
      <c r="M22" s="31"/>
    </row>
    <row r="23" spans="1:13" ht="15" thickBot="1">
      <c r="A23" s="37" t="s">
        <v>44</v>
      </c>
      <c r="B23" s="71"/>
      <c r="C23" s="58"/>
      <c r="D23" s="59">
        <f ca="1">'Input Data'!B26</f>
        <v>77.010768572023437</v>
      </c>
      <c r="E23" s="65"/>
      <c r="F23" s="65"/>
      <c r="G23" s="65"/>
      <c r="H23" s="65"/>
      <c r="I23" s="65"/>
      <c r="J23" s="65"/>
      <c r="K23" s="65"/>
      <c r="L23" s="65"/>
      <c r="M23" s="31"/>
    </row>
    <row r="24" spans="1:13" ht="15" thickBot="1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31"/>
    </row>
    <row r="25" spans="1:13" ht="15" thickBot="1">
      <c r="A25" s="37" t="s">
        <v>46</v>
      </c>
      <c r="B25" s="38"/>
      <c r="C25" s="38"/>
      <c r="D25" s="60">
        <f ca="1">'Input Data'!B20</f>
        <v>4.5989307387434808</v>
      </c>
      <c r="E25" s="65"/>
      <c r="F25" s="65"/>
      <c r="G25" s="65"/>
      <c r="H25" s="65"/>
      <c r="I25" s="65"/>
      <c r="J25" s="65"/>
      <c r="K25" s="65"/>
      <c r="L25" s="65"/>
      <c r="M25" s="31"/>
    </row>
    <row r="26" spans="1:13" ht="15" thickBot="1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31"/>
    </row>
    <row r="27" spans="1:13" ht="15" thickBot="1">
      <c r="A27" s="37" t="s">
        <v>45</v>
      </c>
      <c r="B27" s="38"/>
      <c r="C27" s="38"/>
      <c r="D27" s="39">
        <f ca="1">'Input Data'!B31</f>
        <v>97.464066797935089</v>
      </c>
      <c r="E27" s="65"/>
      <c r="F27" s="65"/>
      <c r="G27" s="65"/>
      <c r="H27" s="65"/>
      <c r="I27" s="65"/>
      <c r="J27" s="65"/>
      <c r="K27" s="65"/>
      <c r="L27" s="65"/>
      <c r="M27" s="31"/>
    </row>
    <row r="28" spans="1:13" ht="15" thickBot="1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31"/>
    </row>
    <row r="29" spans="1:13" ht="15" thickBot="1">
      <c r="A29" s="37" t="s">
        <v>47</v>
      </c>
      <c r="B29" s="38"/>
      <c r="C29" s="38"/>
      <c r="D29" s="39">
        <f ca="1">'Input Data'!B30</f>
        <v>187.72935019301357</v>
      </c>
      <c r="E29" s="65"/>
      <c r="F29" s="65"/>
      <c r="G29" s="65"/>
      <c r="H29" s="65"/>
      <c r="I29" s="65"/>
      <c r="J29" s="65"/>
      <c r="K29" s="65"/>
      <c r="L29" s="65"/>
      <c r="M29" s="31"/>
    </row>
    <row r="30" spans="1:13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31"/>
    </row>
    <row r="31" spans="1:13">
      <c r="A31" s="65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31"/>
    </row>
    <row r="32" spans="1:13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</row>
    <row r="33" spans="1:13">
      <c r="A33" s="31"/>
      <c r="M33" s="31"/>
    </row>
  </sheetData>
  <mergeCells count="4">
    <mergeCell ref="H7:K7"/>
    <mergeCell ref="H12:K12"/>
    <mergeCell ref="H8:I8"/>
    <mergeCell ref="J8:K8"/>
  </mergeCells>
  <pageMargins left="0.7" right="0.7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6"/>
  <sheetViews>
    <sheetView workbookViewId="0">
      <selection activeCell="H10" sqref="H10"/>
    </sheetView>
  </sheetViews>
  <sheetFormatPr defaultRowHeight="14.4"/>
  <sheetData>
    <row r="1" spans="1:8">
      <c r="A1" s="19" t="s">
        <v>19</v>
      </c>
      <c r="B1" s="21">
        <v>0</v>
      </c>
      <c r="C1" s="20">
        <f>'Input Data'!$B$4</f>
        <v>400</v>
      </c>
      <c r="G1" s="1">
        <v>10</v>
      </c>
      <c r="H1" s="2">
        <v>3.7600000000000001E-2</v>
      </c>
    </row>
    <row r="2" spans="1:8">
      <c r="A2" s="19"/>
      <c r="B2" s="21">
        <f>B1+'Input Data'!$B$7/10</f>
        <v>25</v>
      </c>
      <c r="C2" s="20">
        <f>'Input Data'!$B$4</f>
        <v>400</v>
      </c>
      <c r="G2" s="3">
        <v>0</v>
      </c>
      <c r="H2" s="4">
        <f>(H3-H1)/(G3-G1)*(G2-G1)+H1</f>
        <v>3.5106896551724137E-2</v>
      </c>
    </row>
    <row r="3" spans="1:8" ht="15" thickBot="1">
      <c r="A3" s="19"/>
      <c r="B3" s="21">
        <f>B2+'Input Data'!$B$7/10</f>
        <v>50</v>
      </c>
      <c r="C3" s="20">
        <f>'Input Data'!$B$4</f>
        <v>400</v>
      </c>
      <c r="G3" s="5">
        <v>300</v>
      </c>
      <c r="H3" s="6">
        <v>0.1099</v>
      </c>
    </row>
    <row r="4" spans="1:8">
      <c r="A4" s="19"/>
      <c r="B4" s="21">
        <f>B3+'Input Data'!$B$7/10</f>
        <v>75</v>
      </c>
      <c r="C4" s="20">
        <f>'Input Data'!$B$4</f>
        <v>400</v>
      </c>
    </row>
    <row r="5" spans="1:8">
      <c r="A5" s="19"/>
      <c r="B5" s="21">
        <f>B4+'Input Data'!$B$7/10</f>
        <v>100</v>
      </c>
      <c r="C5" s="20">
        <f>'Input Data'!$B$4</f>
        <v>400</v>
      </c>
    </row>
    <row r="6" spans="1:8">
      <c r="A6" s="19" t="s">
        <v>20</v>
      </c>
      <c r="B6" s="21">
        <f>'Input Data'!B7/2</f>
        <v>125</v>
      </c>
      <c r="C6" s="20">
        <f>'Input Data'!$B$4</f>
        <v>400</v>
      </c>
    </row>
    <row r="7" spans="1:8">
      <c r="A7" s="19"/>
      <c r="B7" s="21">
        <f>B6+'Input Data'!$B$10/10</f>
        <v>130</v>
      </c>
      <c r="C7" s="20">
        <f t="shared" ref="C7:C15" ca="1" si="0">(($C$6-$C$16)/(LN($B$6/$B$16)))*LN(B7/$B$16)+$C$16</f>
        <v>375.25678091389216</v>
      </c>
    </row>
    <row r="8" spans="1:8">
      <c r="A8" s="19"/>
      <c r="B8" s="21">
        <f>B7+'Input Data'!$B$10/10</f>
        <v>135</v>
      </c>
      <c r="C8" s="20">
        <f t="shared" ca="1" si="0"/>
        <v>351.44749422367738</v>
      </c>
    </row>
    <row r="9" spans="1:8">
      <c r="A9" s="19"/>
      <c r="B9" s="21">
        <f>B8+'Input Data'!$B$10/10</f>
        <v>140</v>
      </c>
      <c r="C9" s="20">
        <f t="shared" ca="1" si="0"/>
        <v>328.50419424213987</v>
      </c>
    </row>
    <row r="10" spans="1:8">
      <c r="A10" s="19"/>
      <c r="B10" s="21">
        <f>B9+'Input Data'!$B$10/10</f>
        <v>145</v>
      </c>
      <c r="C10" s="20">
        <f t="shared" ca="1" si="0"/>
        <v>306.36609056417825</v>
      </c>
    </row>
    <row r="11" spans="1:8">
      <c r="A11" s="19"/>
      <c r="B11" s="21">
        <f>B10+'Input Data'!$B$10/10</f>
        <v>150</v>
      </c>
      <c r="C11" s="20">
        <f t="shared" ca="1" si="0"/>
        <v>284.97857735930404</v>
      </c>
    </row>
    <row r="12" spans="1:8">
      <c r="A12" s="19"/>
      <c r="B12" s="21">
        <f>B11+'Input Data'!$B$10/10</f>
        <v>155</v>
      </c>
      <c r="C12" s="20">
        <f t="shared" ca="1" si="0"/>
        <v>264.29242189004674</v>
      </c>
    </row>
    <row r="13" spans="1:8">
      <c r="A13" s="19"/>
      <c r="B13" s="21">
        <f>B12+'Input Data'!$B$10/10</f>
        <v>160</v>
      </c>
      <c r="C13" s="20">
        <f t="shared" ca="1" si="0"/>
        <v>244.26308190771951</v>
      </c>
    </row>
    <row r="14" spans="1:8">
      <c r="A14" s="19"/>
      <c r="B14" s="21">
        <f>B13+'Input Data'!$B$10/10</f>
        <v>165</v>
      </c>
      <c r="C14" s="20">
        <f t="shared" ca="1" si="0"/>
        <v>224.85012811825695</v>
      </c>
    </row>
    <row r="15" spans="1:8">
      <c r="A15" s="19"/>
      <c r="B15" s="21">
        <f>B14+'Input Data'!$B$10/10</f>
        <v>170</v>
      </c>
      <c r="C15" s="20">
        <f t="shared" ca="1" si="0"/>
        <v>206.01675288881475</v>
      </c>
    </row>
    <row r="16" spans="1:8">
      <c r="A16" s="19" t="s">
        <v>21</v>
      </c>
      <c r="B16" s="21">
        <f>B6+'Input Data'!B10</f>
        <v>175</v>
      </c>
      <c r="C16" s="20">
        <f ca="1">'Input Data'!B30</f>
        <v>187.72935019301357</v>
      </c>
    </row>
    <row r="17" spans="1:3">
      <c r="A17" s="19"/>
      <c r="B17" s="21">
        <f>B16+'Input Data'!$B$12/10</f>
        <v>177</v>
      </c>
      <c r="C17" s="20">
        <f t="shared" ref="C17:C25" ca="1" si="1">(($C$16-$C$26)/(LN($B$16/$B$26)))*LN(B17/$B$26)+$C$26</f>
        <v>178.25038414283659</v>
      </c>
    </row>
    <row r="18" spans="1:3">
      <c r="A18" s="19"/>
      <c r="B18" s="21">
        <f>B17+'Input Data'!$B$12/10</f>
        <v>179</v>
      </c>
      <c r="C18" s="20">
        <f t="shared" ca="1" si="1"/>
        <v>168.87792558296232</v>
      </c>
    </row>
    <row r="19" spans="1:3">
      <c r="A19" s="19"/>
      <c r="B19" s="21">
        <f>B18+'Input Data'!$B$12/10</f>
        <v>181</v>
      </c>
      <c r="C19" s="20">
        <f t="shared" ca="1" si="1"/>
        <v>159.60960760639304</v>
      </c>
    </row>
    <row r="20" spans="1:3">
      <c r="A20" s="19"/>
      <c r="B20" s="21">
        <f>B19+'Input Data'!$B$12/10</f>
        <v>183</v>
      </c>
      <c r="C20" s="20">
        <f t="shared" ca="1" si="1"/>
        <v>150.4431413392266</v>
      </c>
    </row>
    <row r="21" spans="1:3">
      <c r="A21" s="19"/>
      <c r="B21" s="21">
        <f>B20+'Input Data'!$B$12/10</f>
        <v>185</v>
      </c>
      <c r="C21" s="20">
        <f t="shared" ca="1" si="1"/>
        <v>141.37631254774166</v>
      </c>
    </row>
    <row r="22" spans="1:3">
      <c r="A22" s="19"/>
      <c r="B22" s="21">
        <f>B21+'Input Data'!$B$12/10</f>
        <v>187</v>
      </c>
      <c r="C22" s="20">
        <f t="shared" ca="1" si="1"/>
        <v>132.40697842790951</v>
      </c>
    </row>
    <row r="23" spans="1:3">
      <c r="A23" s="19"/>
      <c r="B23" s="21">
        <f>B22+'Input Data'!$B$12/10</f>
        <v>189</v>
      </c>
      <c r="C23" s="20">
        <f t="shared" ca="1" si="1"/>
        <v>123.53306456568656</v>
      </c>
    </row>
    <row r="24" spans="1:3">
      <c r="A24" s="19"/>
      <c r="B24" s="21">
        <f>B23+'Input Data'!$B$12/10</f>
        <v>191</v>
      </c>
      <c r="C24" s="20">
        <f t="shared" ca="1" si="1"/>
        <v>114.75256205729953</v>
      </c>
    </row>
    <row r="25" spans="1:3">
      <c r="A25" s="19"/>
      <c r="B25" s="21">
        <f>B24+'Input Data'!$B$12/10</f>
        <v>193</v>
      </c>
      <c r="C25" s="20">
        <f t="shared" ca="1" si="1"/>
        <v>106.06352477952514</v>
      </c>
    </row>
    <row r="26" spans="1:3">
      <c r="A26" s="19" t="s">
        <v>22</v>
      </c>
      <c r="B26" s="21">
        <f>B16+'Input Data'!B12</f>
        <v>195</v>
      </c>
      <c r="C26" s="20">
        <f ca="1">'Input Data'!K13</f>
        <v>97.464066797935089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 Data</vt:lpstr>
      <vt:lpstr>Impot</vt:lpstr>
      <vt:lpstr>Insulation</vt:lpstr>
      <vt:lpstr>Report ENG</vt:lpstr>
      <vt:lpstr>'Report ENG'!Print_Area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Inc.</dc:creator>
  <cp:lastModifiedBy>e1234958</cp:lastModifiedBy>
  <cp:lastPrinted>2019-03-26T07:54:54Z</cp:lastPrinted>
  <dcterms:created xsi:type="dcterms:W3CDTF">2019-03-23T09:15:53Z</dcterms:created>
  <dcterms:modified xsi:type="dcterms:W3CDTF">2021-07-24T07:42:02Z</dcterms:modified>
</cp:coreProperties>
</file>