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Soft\Excel nVent Tools\"/>
    </mc:Choice>
  </mc:AlternateContent>
  <xr:revisionPtr revIDLastSave="0" documentId="13_ncr:1_{0E413A20-AE89-492C-B650-C7CA4D837324}" xr6:coauthVersionLast="46" xr6:coauthVersionMax="46" xr10:uidLastSave="{00000000-0000-0000-0000-000000000000}"/>
  <bookViews>
    <workbookView xWindow="-120" yWindow="-120" windowWidth="29040" windowHeight="15840" xr2:uid="{4A1D23AA-566C-4547-9DB3-8E0D5A64218E}"/>
  </bookViews>
  <sheets>
    <sheet name="LineList" sheetId="7" r:id="rId1"/>
    <sheet name="Path" sheetId="5" state="hidden" r:id="rId2"/>
  </sheets>
  <definedNames>
    <definedName name="ExternalData_1" localSheetId="0" hidden="1">LineList!$A$1:$R$2</definedName>
  </definedNames>
  <calcPr calcId="191029" iterateCount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" i="7" l="1"/>
  <c r="T2" i="7"/>
  <c r="V2" i="7" s="1"/>
  <c r="W2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28D930-BE0C-4726-A4A2-7648AE582BB8}" keepAlive="1" name="Query - Children" description="Connection to the 'Children' query in the workbook." type="5" refreshedVersion="6" saveData="1">
    <dbPr connection="Provider=Microsoft.Mashup.OleDb.1;Data Source=$Workbook$;Location=Children;Extended Properties=&quot;&quot;" command="SELECT * FROM [Children]"/>
  </connection>
  <connection id="2" xr16:uid="{BA938A51-0945-4AC0-BB2A-FA6DBA2A58B4}" keepAlive="1" name="Query - Linelist" description="Connection to the 'Linelist' query in the workbook." type="5" refreshedVersion="6" saveData="1">
    <dbPr connection="Provider=Microsoft.Mashup.OleDb.1;Data Source=$Workbook$;Location=Linelist;Extended Properties=&quot;&quot;" command="SELECT * FROM [Linelist]"/>
  </connection>
  <connection id="3" xr16:uid="{B09FBD04-463B-4D51-8BDA-670850FEDD22}" keepAlive="1" name="Query - LineListEnvData -MAIN" description="Connection to the 'LineListEnvData -MAIN' query in the workbook." type="5" refreshedVersion="6" saveData="1">
    <dbPr connection="Provider=Microsoft.Mashup.OleDb.1;Data Source=$Workbook$;Location=&quot;LineListEnvData -MAIN&quot;;Extended Properties=&quot;&quot;" command="SELECT * FROM [LineListEnvData -MAIN]"/>
  </connection>
  <connection id="4" xr16:uid="{A9E7CF10-C1D2-4797-902E-A44D1B6EB104}" keepAlive="1" name="Query - LineListHtrDesign" description="Connection to the 'LineListHtrDesign' query in the workbook." type="5" refreshedVersion="6" saveData="1">
    <dbPr connection="Provider=Microsoft.Mashup.OleDb.1;Data Source=$Workbook$;Location=LineListHtrDesign;Extended Properties=&quot;&quot;" command="SELECT * FROM [LineListHtrDesign]"/>
  </connection>
  <connection id="5" xr16:uid="{1F40141A-94F2-4A6D-A211-0B6410198D64}" keepAlive="1" name="Query - LineListPipes" description="Connection to the 'LineListPipes' query in the workbook." type="5" refreshedVersion="6" saveData="1">
    <dbPr connection="Provider=Microsoft.Mashup.OleDb.1;Data Source=$Workbook$;Location=LineListPipes;Extended Properties=&quot;&quot;" command="SELECT * FROM [LineListPipes]"/>
  </connection>
</connections>
</file>

<file path=xl/sharedStrings.xml><?xml version="1.0" encoding="utf-8"?>
<sst xmlns="http://schemas.openxmlformats.org/spreadsheetml/2006/main" count="44" uniqueCount="42">
  <si>
    <t>Power Parallel</t>
  </si>
  <si>
    <t>Power Parallel (parent control)</t>
  </si>
  <si>
    <t>Power Tee</t>
  </si>
  <si>
    <t>Power Splice</t>
  </si>
  <si>
    <t>Continuation</t>
  </si>
  <si>
    <t>Loop</t>
  </si>
  <si>
    <t>Slice End</t>
  </si>
  <si>
    <t>Slice Mid</t>
  </si>
  <si>
    <t>Tee mid</t>
  </si>
  <si>
    <t>Tee End</t>
  </si>
  <si>
    <t>LineType</t>
  </si>
  <si>
    <t>LineID</t>
  </si>
  <si>
    <t>Level</t>
  </si>
  <si>
    <t>Path</t>
  </si>
  <si>
    <t>Number</t>
  </si>
  <si>
    <t>Parent</t>
  </si>
  <si>
    <t>TraceCalc file version:</t>
  </si>
  <si>
    <t>LineListRecordID</t>
  </si>
  <si>
    <t>TempMaintain</t>
  </si>
  <si>
    <t>TempMaxOperating</t>
  </si>
  <si>
    <t>TempMaxExposure</t>
  </si>
  <si>
    <t>TempMaxAllowable</t>
  </si>
  <si>
    <t/>
  </si>
  <si>
    <t>SameHtrAsParent</t>
  </si>
  <si>
    <t>SegmentType</t>
  </si>
  <si>
    <t>InsulationType</t>
  </si>
  <si>
    <t>InsulationThik</t>
  </si>
  <si>
    <t>PipeDiam</t>
  </si>
  <si>
    <t>PipeLen</t>
  </si>
  <si>
    <t>Heater</t>
  </si>
  <si>
    <t>LinelistParentID</t>
  </si>
  <si>
    <t>LinelistRootParentID</t>
  </si>
  <si>
    <t>2.14.00</t>
  </si>
  <si>
    <t>CALC
LinelistRootParentID</t>
  </si>
  <si>
    <t>CALC
LinelistParentID</t>
  </si>
  <si>
    <t>CALC
RepeatedName</t>
  </si>
  <si>
    <t>Design Parameters</t>
  </si>
  <si>
    <t>CALC Formulas</t>
  </si>
  <si>
    <t>C:\Users\e1234958\Downloads\Project1.TDB</t>
  </si>
  <si>
    <t>New Line</t>
  </si>
  <si>
    <t>RW</t>
  </si>
  <si>
    <t>CALC
SegmantType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</si>
</sst>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Fill="1"/>
    <xf numFmtId="0" fontId="0" fillId="4" borderId="0" xfId="0" applyFill="1"/>
    <xf numFmtId="0" fontId="3" fillId="3" borderId="0" xfId="0" applyFont="1" applyFill="1" applyAlignment="1">
      <alignment vertical="top" wrapText="1"/>
    </xf>
    <xf numFmtId="0" fontId="4" fillId="3" borderId="0" xfId="0" applyFont="1" applyFill="1" applyAlignment="1">
      <alignment vertical="top" wrapText="1"/>
    </xf>
    <xf numFmtId="0" fontId="3" fillId="4" borderId="0" xfId="0" applyFont="1" applyFill="1" applyAlignment="1">
      <alignment vertical="top" wrapText="1"/>
    </xf>
    <xf numFmtId="0" fontId="0" fillId="5" borderId="0" xfId="0" applyNumberFormat="1" applyFill="1"/>
    <xf numFmtId="0" fontId="0" fillId="5" borderId="0" xfId="0" applyFill="1"/>
    <xf numFmtId="0" fontId="0" fillId="4" borderId="0" xfId="0" applyNumberFormat="1" applyFill="1" applyAlignment="1">
      <alignment vertical="top"/>
    </xf>
  </cellXfs>
  <cellStyles count="1">
    <cellStyle name="Normal" xfId="0" builtinId="0"/>
  </cellStyles>
  <dxfs count="18"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323850</xdr:colOff>
      <xdr:row>0</xdr:row>
      <xdr:rowOff>190500</xdr:rowOff>
    </xdr:from>
    <xdr:to>
      <xdr:col>31</xdr:col>
      <xdr:colOff>657225</xdr:colOff>
      <xdr:row>16</xdr:row>
      <xdr:rowOff>104775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572375" y="190500"/>
          <a:ext cx="7210425" cy="3724275"/>
          <a:chOff x="8181975" y="76200"/>
          <a:chExt cx="7210425" cy="37242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8181975" y="76200"/>
            <a:ext cx="7210425" cy="3724275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61270" y="165736"/>
            <a:ext cx="3570308" cy="1680210"/>
          </a:xfrm>
          <a:prstGeom prst="rect">
            <a:avLst/>
          </a:prstGeom>
          <a:ln w="25400">
            <a:solidFill>
              <a:schemeClr val="bg1">
                <a:lumMod val="75000"/>
              </a:schemeClr>
            </a:solidFill>
          </a:ln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52459" y="2021174"/>
            <a:ext cx="6976913" cy="1701196"/>
          </a:xfrm>
          <a:prstGeom prst="rect">
            <a:avLst/>
          </a:prstGeom>
        </xdr:spPr>
      </xdr:pic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8362950" y="762000"/>
            <a:ext cx="1552575" cy="47625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tx1"/>
                </a:solidFill>
              </a:rPr>
              <a:t>2.14.00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362950" y="466725"/>
            <a:ext cx="1552575" cy="285750"/>
          </a:xfrm>
          <a:prstGeom prst="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TraceCalc version:</a:t>
            </a: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390525</xdr:rowOff>
        </xdr:from>
        <xdr:to>
          <xdr:col>1</xdr:col>
          <xdr:colOff>466725</xdr:colOff>
          <xdr:row>0</xdr:row>
          <xdr:rowOff>714375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638175</xdr:colOff>
          <xdr:row>0</xdr:row>
          <xdr:rowOff>295275</xdr:rowOff>
        </xdr:from>
        <xdr:to>
          <xdr:col>1</xdr:col>
          <xdr:colOff>1552575</xdr:colOff>
          <xdr:row>0</xdr:row>
          <xdr:rowOff>704850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 in TDB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790575</xdr:colOff>
          <xdr:row>0</xdr:row>
          <xdr:rowOff>371475</xdr:rowOff>
        </xdr:from>
        <xdr:to>
          <xdr:col>6</xdr:col>
          <xdr:colOff>752475</xdr:colOff>
          <xdr:row>0</xdr:row>
          <xdr:rowOff>695325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Lines in TDB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4C10B3FC-D14E-4275-8087-1C6DCA14E45D}" autoFormatId="16" applyNumberFormats="0" applyBorderFormats="0" applyFontFormats="0" applyPatternFormats="0" applyAlignmentFormats="0" applyWidthHeightFormats="0">
  <queryTableRefresh nextId="69" unboundColumnsRight="5">
    <queryTableFields count="23">
      <queryTableField id="2" name="LineListRecordID" tableColumnId="2"/>
      <queryTableField id="44" name="LineID" tableColumnId="10"/>
      <queryTableField id="45" name="SegmentType" tableColumnId="11"/>
      <queryTableField id="46" name="Level" tableColumnId="12"/>
      <queryTableField id="47" name="LineType" tableColumnId="13"/>
      <queryTableField id="48" name="SameHtrAsParent" tableColumnId="14"/>
      <queryTableField id="59" name="LinelistParentID" tableColumnId="20"/>
      <queryTableField id="60" name="LinelistRootParentID" tableColumnId="21"/>
      <queryTableField id="67" dataBound="0" tableColumnId="23"/>
      <queryTableField id="3" name="TempMaintain" tableColumnId="3"/>
      <queryTableField id="6" name="TempMaxOperating" tableColumnId="6"/>
      <queryTableField id="7" name="TempMaxExposure" tableColumnId="7"/>
      <queryTableField id="9" name="TempMaxAllowable" tableColumnId="9"/>
      <queryTableField id="49" name="InsulationType" tableColumnId="15"/>
      <queryTableField id="50" name="InsulationThik" tableColumnId="16"/>
      <queryTableField id="51" name="PipeDiam" tableColumnId="17"/>
      <queryTableField id="52" name="PipeLen" tableColumnId="18"/>
      <queryTableField id="53" name="Heater" tableColumnId="19"/>
      <queryTableField id="66" dataBound="0" tableColumnId="8"/>
      <queryTableField id="63" dataBound="0" tableColumnId="1"/>
      <queryTableField id="68" dataBound="0" tableColumnId="22"/>
      <queryTableField id="64" dataBound="0" tableColumnId="4"/>
      <queryTableField id="6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627657-D5EE-4D35-AB89-D8CBEDAEDFF0}" name="LineListEnvData__MAIN" displayName="LineListEnvData__MAIN" ref="A1:W2" tableType="queryTable" totalsRowShown="0" headerRowDxfId="17">
  <autoFilter ref="A1:W2" xr:uid="{C335EE1D-3D68-4EA0-96E0-75FF116CD517}"/>
  <tableColumns count="23">
    <tableColumn id="2" xr3:uid="{5DAE21D1-C942-45C8-8FC8-123B31902DCE}" uniqueName="2" name="LineListRecordID" queryTableFieldId="2"/>
    <tableColumn id="10" xr3:uid="{8DA31984-3452-4D34-9CE9-55250A4169D3}" uniqueName="10" name="LineID" queryTableFieldId="44" dataDxfId="16"/>
    <tableColumn id="11" xr3:uid="{FD008314-0520-44B7-A16E-A2EEA47EFFEB}" uniqueName="11" name="SegmentType" queryTableFieldId="45"/>
    <tableColumn id="12" xr3:uid="{4261173B-682B-4C5D-8299-B4E573EDAC70}" uniqueName="12" name="Level" queryTableFieldId="46"/>
    <tableColumn id="13" xr3:uid="{6FC6A241-9DDB-4C39-8109-7826A927BF4E}" uniqueName="13" name="LineType" queryTableFieldId="47"/>
    <tableColumn id="14" xr3:uid="{F5F23A94-CAFA-4C40-8E1D-EF3BE9E6408E}" uniqueName="14" name="SameHtrAsParent" queryTableFieldId="48"/>
    <tableColumn id="20" xr3:uid="{BD7235CB-8B55-4FEE-9A06-AECE34FDEAE1}" uniqueName="20" name="LinelistParentID" queryTableFieldId="59"/>
    <tableColumn id="21" xr3:uid="{8C600ACE-09B8-4B4D-A299-E96624957B84}" uniqueName="21" name="LinelistRootParentID" queryTableFieldId="60"/>
    <tableColumn id="23" xr3:uid="{35EF97FE-37F2-452D-AE7F-86643BAB51FE}" uniqueName="23" name="Design Parameters" queryTableFieldId="67" dataDxfId="15"/>
    <tableColumn id="3" xr3:uid="{65BBE716-F1F4-4632-A7EF-3B7B4EE1059D}" uniqueName="3" name="TempMaintain" queryTableFieldId="3" dataDxfId="14"/>
    <tableColumn id="6" xr3:uid="{6A29AB5D-EE91-4452-84D6-B87C5E6D9A84}" uniqueName="6" name="TempMaxOperating" queryTableFieldId="6" dataDxfId="13"/>
    <tableColumn id="7" xr3:uid="{260D2D46-5A6E-4B98-A194-1CDDA3970E4D}" uniqueName="7" name="TempMaxExposure" queryTableFieldId="7" dataDxfId="12"/>
    <tableColumn id="9" xr3:uid="{042E6948-9788-40E4-B862-9C5150892A1A}" uniqueName="9" name="TempMaxAllowable" queryTableFieldId="9" dataDxfId="11"/>
    <tableColumn id="15" xr3:uid="{347345E8-8E15-47B2-8D96-7EAD109FCA95}" uniqueName="15" name="InsulationType" queryTableFieldId="49" dataDxfId="10"/>
    <tableColumn id="16" xr3:uid="{3F7C0B47-2A14-42FE-9B0E-C73A5017FF39}" uniqueName="16" name="InsulationThik" queryTableFieldId="50" dataDxfId="9"/>
    <tableColumn id="17" xr3:uid="{96E86C07-7498-472B-8C87-4EA3B5DB5692}" uniqueName="17" name="PipeDiam" queryTableFieldId="51" dataDxfId="8"/>
    <tableColumn id="18" xr3:uid="{E4AE0270-213E-4C84-A5F3-3B7348E7915F}" uniqueName="18" name="PipeLen" queryTableFieldId="52" dataDxfId="7"/>
    <tableColumn id="19" xr3:uid="{A0C05DC1-84A0-4041-875C-217F369A64F3}" uniqueName="19" name="Heater" queryTableFieldId="53" dataDxfId="6"/>
    <tableColumn id="8" xr3:uid="{C15B6DA8-8A8A-4332-838E-9D69D350A5B4}" uniqueName="8" name="CALC Formulas" queryTableFieldId="66" dataDxfId="5"/>
    <tableColumn id="1" xr3:uid="{015BBFAD-2D36-4403-9E63-6F6F9A27491C}" uniqueName="1" name="CALC_x000a_RepeatedName" queryTableFieldId="63" dataDxfId="4">
      <calculatedColumnFormula>MID(LineListEnvData__MAIN[[#This Row],[LineID]],SEARCH("_",LineListEnvData__MAIN[[#This Row],[LineID]])+1,SEARCH("-",LineListEnvData__MAIN[[#This Row],[LineID]],10)-SEARCH("_",LineListEnvData__MAIN[[#This Row],[LineID]])-1)</calculatedColumnFormula>
    </tableColumn>
    <tableColumn id="22" xr3:uid="{911535EE-D2A7-4A7A-8438-8B3FA3F1E344}" uniqueName="22" name="CALC_x000a_SegmantType" queryTableFieldId="68" dataDxfId="3">
      <calculatedColumnFormula>IF(LineListEnvData__MAIN[[#This Row],[CALC
LinelistParentID]]=0,"Parent","Continuation")</calculatedColumnFormula>
    </tableColumn>
    <tableColumn id="4" xr3:uid="{906F95A4-ADED-4AB7-B9F4-9465B44B2CC1}" uniqueName="4" name="CALC_x000a_LinelistParentID" queryTableFieldId="64" dataDxfId="2">
      <calculatedColumnFormula>IF(LineListEnvData__MAIN[[#This Row],[CALC
RepeatedName]]=T3,LineListEnvData__MAIN[[#This Row],[LineListRecordID]],0)</calculatedColumnFormula>
    </tableColumn>
    <tableColumn id="5" xr3:uid="{8A79A29E-AB26-462E-A5C6-118B1BF05D7E}" uniqueName="5" name="CALC_x000a_LinelistRootParentID" queryTableFieldId="65" dataDxfId="1">
      <calculatedColumnFormula>IF(LineListEnvData__MAIN[[#This Row],[CALC
LinelistParentID]]=IFERROR(V1+1,-1),W1,IF(AND(LineListEnvData__MAIN[[#This Row],[CALC
LinelistParentID]]&lt;&gt;0,V1=0),A2,0))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562DB4-AC30-4250-87B5-B1516D4EC227}" name="Path" displayName="Path" ref="A1:A2" totalsRowShown="0">
  <autoFilter ref="A1:A2" xr:uid="{DC5547B7-2EBD-45B8-BC57-1EA662296837}"/>
  <tableColumns count="1">
    <tableColumn id="1" xr3:uid="{1324FB7A-0C0E-4689-A174-2BA26FE69E2F}" name="Path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D0F0CE-50B4-41CA-AABD-73F36181598C}" name="Table7" displayName="Table7" ref="F1:G12" totalsRowShown="0" headerRowDxfId="0">
  <autoFilter ref="F1:G12" xr:uid="{99FA413E-75FC-4E1C-939A-A146F0964755}"/>
  <tableColumns count="2">
    <tableColumn id="1" xr3:uid="{60177885-0D55-44F2-AAFD-28E0999CBFC0}" name="LineType"/>
    <tableColumn id="2" xr3:uid="{4D706D8F-9B9C-4399-9798-BCF95A2ABA87}" name="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B750E-53DA-4B03-A394-5EAC834E0B27}">
  <sheetPr codeName="Sheet1">
    <outlinePr summaryRight="0"/>
  </sheetPr>
  <dimension ref="A1:W497"/>
  <sheetViews>
    <sheetView tabSelected="1" workbookViewId="0">
      <selection activeCell="U3" sqref="U3"/>
    </sheetView>
  </sheetViews>
  <sheetFormatPr defaultRowHeight="15" outlineLevelCol="1" x14ac:dyDescent="0.25"/>
  <cols>
    <col min="1" max="1" width="9.5703125" customWidth="1"/>
    <col min="2" max="2" width="24.85546875" customWidth="1"/>
    <col min="3" max="3" width="21.5703125" customWidth="1" collapsed="1"/>
    <col min="4" max="4" width="6.5703125" hidden="1" customWidth="1" outlineLevel="1"/>
    <col min="5" max="5" width="9.85546875" hidden="1" customWidth="1" outlineLevel="1"/>
    <col min="6" max="6" width="9.140625" hidden="1" customWidth="1" outlineLevel="1"/>
    <col min="7" max="7" width="15.85546875" customWidth="1"/>
    <col min="8" max="8" width="11.5703125" customWidth="1"/>
    <col min="9" max="9" width="14.5703125" style="4" customWidth="1" collapsed="1"/>
    <col min="10" max="10" width="7.85546875" style="4" hidden="1" customWidth="1" outlineLevel="1"/>
    <col min="11" max="11" width="10.140625" style="4" hidden="1" customWidth="1" outlineLevel="1"/>
    <col min="12" max="13" width="10.28515625" style="4" hidden="1" customWidth="1" outlineLevel="1"/>
    <col min="14" max="14" width="14.28515625" style="4" hidden="1" customWidth="1" outlineLevel="1"/>
    <col min="15" max="15" width="10" style="4" hidden="1" customWidth="1" outlineLevel="1"/>
    <col min="16" max="16" width="9.5703125" style="4" hidden="1" customWidth="1" outlineLevel="1"/>
    <col min="17" max="17" width="8.7109375" style="4" hidden="1" customWidth="1" outlineLevel="1"/>
    <col min="18" max="18" width="13.5703125" style="4" hidden="1" customWidth="1" outlineLevel="1"/>
    <col min="19" max="19" width="10.7109375" style="4" customWidth="1" collapsed="1"/>
    <col min="20" max="21" width="17.140625" style="4" hidden="1" customWidth="1" outlineLevel="1"/>
    <col min="22" max="22" width="15.85546875" style="4" hidden="1" customWidth="1" outlineLevel="1"/>
    <col min="23" max="23" width="12.28515625" style="4" hidden="1" customWidth="1" outlineLevel="1"/>
    <col min="24" max="24" width="10.42578125" style="4" customWidth="1"/>
    <col min="25" max="25" width="14.140625" style="4" customWidth="1"/>
    <col min="26" max="26" width="7.7109375" style="4" customWidth="1"/>
    <col min="27" max="27" width="10.140625" style="4" customWidth="1"/>
    <col min="28" max="28" width="14.42578125" style="4" customWidth="1"/>
    <col min="29" max="33" width="15.42578125" style="4" customWidth="1"/>
    <col min="34" max="34" width="15.5703125" style="4" bestFit="1" customWidth="1"/>
    <col min="35" max="35" width="13.5703125" style="4" customWidth="1"/>
    <col min="36" max="36" width="11.140625" style="4" customWidth="1"/>
    <col min="37" max="37" width="13" style="4" customWidth="1"/>
    <col min="38" max="38" width="15.85546875" style="4" customWidth="1"/>
    <col min="39" max="39" width="18.5703125" style="4" bestFit="1" customWidth="1"/>
    <col min="40" max="40" width="18.5703125" style="4" customWidth="1"/>
    <col min="41" max="42" width="18.5703125" style="4" bestFit="1" customWidth="1"/>
    <col min="43" max="43" width="26.85546875" style="4" bestFit="1" customWidth="1"/>
    <col min="44" max="44" width="24.42578125" style="4" bestFit="1" customWidth="1"/>
    <col min="45" max="45" width="26.5703125" style="4" bestFit="1" customWidth="1"/>
    <col min="46" max="46" width="30.85546875" style="4" bestFit="1" customWidth="1"/>
    <col min="47" max="47" width="30.140625" style="4" bestFit="1" customWidth="1"/>
    <col min="48" max="16384" width="9.140625" style="4"/>
  </cols>
  <sheetData>
    <row r="1" spans="1:23" s="3" customFormat="1" ht="75" customHeight="1" x14ac:dyDescent="0.25">
      <c r="A1" s="3" t="s">
        <v>17</v>
      </c>
      <c r="B1" s="3" t="s">
        <v>11</v>
      </c>
      <c r="C1" s="3" t="s">
        <v>24</v>
      </c>
      <c r="D1" s="3" t="s">
        <v>12</v>
      </c>
      <c r="E1" s="3" t="s">
        <v>10</v>
      </c>
      <c r="F1" s="3" t="s">
        <v>23</v>
      </c>
      <c r="G1" s="3" t="s">
        <v>30</v>
      </c>
      <c r="H1" s="3" t="s">
        <v>31</v>
      </c>
      <c r="I1" s="6" t="s">
        <v>36</v>
      </c>
      <c r="J1" s="7" t="s">
        <v>18</v>
      </c>
      <c r="K1" s="7" t="s">
        <v>19</v>
      </c>
      <c r="L1" s="7" t="s">
        <v>20</v>
      </c>
      <c r="M1" s="7" t="s">
        <v>21</v>
      </c>
      <c r="N1" s="7" t="s">
        <v>25</v>
      </c>
      <c r="O1" s="7" t="s">
        <v>26</v>
      </c>
      <c r="P1" s="7" t="s">
        <v>27</v>
      </c>
      <c r="Q1" s="7" t="s">
        <v>28</v>
      </c>
      <c r="R1" s="7" t="s">
        <v>29</v>
      </c>
      <c r="S1" s="8" t="s">
        <v>37</v>
      </c>
      <c r="T1" s="8" t="s">
        <v>35</v>
      </c>
      <c r="U1" s="8" t="s">
        <v>41</v>
      </c>
      <c r="V1" s="8" t="s">
        <v>34</v>
      </c>
      <c r="W1" s="8" t="s">
        <v>33</v>
      </c>
    </row>
    <row r="2" spans="1:23" customFormat="1" x14ac:dyDescent="0.25">
      <c r="A2">
        <v>1</v>
      </c>
      <c r="B2" s="1" t="s">
        <v>39</v>
      </c>
      <c r="C2" t="s">
        <v>15</v>
      </c>
      <c r="D2">
        <v>0</v>
      </c>
      <c r="E2">
        <v>0</v>
      </c>
      <c r="F2" t="b">
        <v>0</v>
      </c>
      <c r="G2">
        <v>0</v>
      </c>
      <c r="H2">
        <v>0</v>
      </c>
      <c r="I2" s="9"/>
      <c r="J2" s="10">
        <v>41</v>
      </c>
      <c r="K2" s="10">
        <v>149</v>
      </c>
      <c r="L2" s="10">
        <v>149</v>
      </c>
      <c r="M2" s="10">
        <v>185</v>
      </c>
      <c r="N2" s="9" t="s">
        <v>40</v>
      </c>
      <c r="O2" s="10">
        <v>30</v>
      </c>
      <c r="P2" s="10">
        <v>2</v>
      </c>
      <c r="Q2" s="10">
        <v>50</v>
      </c>
      <c r="R2" s="9" t="s">
        <v>22</v>
      </c>
      <c r="S2" s="11"/>
      <c r="T2" s="5" t="e">
        <f>MID(LineListEnvData__MAIN[[#This Row],[LineID]],SEARCH("_",LineListEnvData__MAIN[[#This Row],[LineID]])+1,SEARCH("-",LineListEnvData__MAIN[[#This Row],[LineID]],10)-SEARCH("_",LineListEnvData__MAIN[[#This Row],[LineID]])-1)</f>
        <v>#VALUE!</v>
      </c>
      <c r="U2" s="5" t="e">
        <f>IF(LineListEnvData__MAIN[[#This Row],[CALC
LinelistParentID]]=0,"Parent","Continuation")</f>
        <v>#VALUE!</v>
      </c>
      <c r="V2" s="5" t="e">
        <f>IF(LineListEnvData__MAIN[[#This Row],[CALC
RepeatedName]]=T3,LineListEnvData__MAIN[[#This Row],[LineListRecordID]],0)</f>
        <v>#VALUE!</v>
      </c>
      <c r="W2" s="5" t="e">
        <f>IF(LineListEnvData__MAIN[[#This Row],[CALC
LinelistParentID]]=IFERROR(V1+1,-1),W1,IF(AND(LineListEnvData__MAIN[[#This Row],[CALC
LinelistParentID]]&lt;&gt;0,V1=0),A2,0))</f>
        <v>#VALUE!</v>
      </c>
    </row>
    <row r="3" spans="1:23" customFormat="1" x14ac:dyDescent="0.25"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customFormat="1" x14ac:dyDescent="0.25"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customFormat="1" x14ac:dyDescent="0.25"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customFormat="1" x14ac:dyDescent="0.25"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customFormat="1" x14ac:dyDescent="0.25"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customFormat="1" x14ac:dyDescent="0.25"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customFormat="1" x14ac:dyDescent="0.25"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customFormat="1" x14ac:dyDescent="0.25"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customFormat="1" x14ac:dyDescent="0.25"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customFormat="1" x14ac:dyDescent="0.25"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customFormat="1" x14ac:dyDescent="0.25"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customFormat="1" x14ac:dyDescent="0.25"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customFormat="1" x14ac:dyDescent="0.25"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customFormat="1" x14ac:dyDescent="0.25"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9:23" customFormat="1" x14ac:dyDescent="0.25"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9:23" customFormat="1" x14ac:dyDescent="0.25"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9:23" customFormat="1" x14ac:dyDescent="0.25"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9:23" customFormat="1" x14ac:dyDescent="0.25"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9:23" customFormat="1" x14ac:dyDescent="0.25"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9:23" customFormat="1" x14ac:dyDescent="0.25"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9:23" customFormat="1" x14ac:dyDescent="0.25"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9:23" customFormat="1" x14ac:dyDescent="0.25"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9:23" customFormat="1" x14ac:dyDescent="0.25"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9:23" customFormat="1" x14ac:dyDescent="0.25"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9:23" customFormat="1" x14ac:dyDescent="0.25"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9:23" customFormat="1" x14ac:dyDescent="0.25"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9:23" customFormat="1" x14ac:dyDescent="0.25"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9:23" customFormat="1" x14ac:dyDescent="0.25"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9:23" customFormat="1" x14ac:dyDescent="0.25"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9:23" customFormat="1" x14ac:dyDescent="0.25"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9:23" customFormat="1" x14ac:dyDescent="0.25"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9:23" customFormat="1" x14ac:dyDescent="0.25"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9:23" customFormat="1" x14ac:dyDescent="0.25"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9:23" customFormat="1" x14ac:dyDescent="0.25"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9:23" customFormat="1" x14ac:dyDescent="0.25"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9:23" customFormat="1" x14ac:dyDescent="0.25"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9:23" customFormat="1" x14ac:dyDescent="0.25"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9:23" customFormat="1" x14ac:dyDescent="0.25"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9:23" customFormat="1" x14ac:dyDescent="0.25"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9:23" customFormat="1" x14ac:dyDescent="0.25"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9:23" customFormat="1" x14ac:dyDescent="0.25"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9:23" customFormat="1" x14ac:dyDescent="0.25"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9:23" customFormat="1" x14ac:dyDescent="0.25"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9:23" customFormat="1" x14ac:dyDescent="0.25"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9:23" customFormat="1" x14ac:dyDescent="0.25"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9:23" customFormat="1" x14ac:dyDescent="0.25"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9:23" customFormat="1" x14ac:dyDescent="0.25"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9:23" customFormat="1" x14ac:dyDescent="0.25"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9:23" customFormat="1" x14ac:dyDescent="0.25"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  <row r="52" spans="9:23" customFormat="1" x14ac:dyDescent="0.25"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</row>
    <row r="53" spans="9:23" customFormat="1" x14ac:dyDescent="0.25"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</row>
    <row r="54" spans="9:23" customFormat="1" x14ac:dyDescent="0.25"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</row>
    <row r="55" spans="9:23" customFormat="1" x14ac:dyDescent="0.25"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</row>
    <row r="56" spans="9:23" customFormat="1" x14ac:dyDescent="0.25"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</row>
    <row r="57" spans="9:23" customFormat="1" x14ac:dyDescent="0.25"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</row>
    <row r="58" spans="9:23" customFormat="1" x14ac:dyDescent="0.25"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</row>
    <row r="59" spans="9:23" customFormat="1" x14ac:dyDescent="0.25"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</row>
    <row r="60" spans="9:23" customFormat="1" x14ac:dyDescent="0.25"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</row>
    <row r="61" spans="9:23" customFormat="1" x14ac:dyDescent="0.25"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</row>
    <row r="62" spans="9:23" customFormat="1" x14ac:dyDescent="0.25"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</row>
    <row r="63" spans="9:23" customFormat="1" x14ac:dyDescent="0.25"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</row>
    <row r="64" spans="9:23" customFormat="1" x14ac:dyDescent="0.25"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</row>
    <row r="65" spans="9:23" customFormat="1" x14ac:dyDescent="0.25"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</row>
    <row r="66" spans="9:23" customFormat="1" x14ac:dyDescent="0.25"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</row>
    <row r="67" spans="9:23" customFormat="1" x14ac:dyDescent="0.25"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</row>
    <row r="68" spans="9:23" customFormat="1" x14ac:dyDescent="0.25"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</row>
    <row r="69" spans="9:23" customFormat="1" x14ac:dyDescent="0.25"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</row>
    <row r="70" spans="9:23" customFormat="1" x14ac:dyDescent="0.25"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</row>
    <row r="71" spans="9:23" customFormat="1" x14ac:dyDescent="0.25"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</row>
    <row r="72" spans="9:23" customFormat="1" x14ac:dyDescent="0.25"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</row>
    <row r="73" spans="9:23" customFormat="1" x14ac:dyDescent="0.25"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</row>
    <row r="74" spans="9:23" customFormat="1" x14ac:dyDescent="0.25"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</row>
    <row r="75" spans="9:23" customFormat="1" x14ac:dyDescent="0.25"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</row>
    <row r="76" spans="9:23" customFormat="1" x14ac:dyDescent="0.25"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</row>
    <row r="77" spans="9:23" customFormat="1" x14ac:dyDescent="0.25"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</row>
    <row r="78" spans="9:23" customFormat="1" x14ac:dyDescent="0.25"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</row>
    <row r="79" spans="9:23" customFormat="1" x14ac:dyDescent="0.25"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</row>
    <row r="80" spans="9:23" customFormat="1" x14ac:dyDescent="0.25"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</row>
    <row r="81" spans="9:23" customFormat="1" x14ac:dyDescent="0.25"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</row>
    <row r="82" spans="9:23" customFormat="1" x14ac:dyDescent="0.25"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</row>
    <row r="83" spans="9:23" customFormat="1" x14ac:dyDescent="0.25"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</row>
    <row r="84" spans="9:23" customFormat="1" x14ac:dyDescent="0.25"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</row>
    <row r="85" spans="9:23" customFormat="1" x14ac:dyDescent="0.25"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</row>
    <row r="86" spans="9:23" customFormat="1" x14ac:dyDescent="0.25"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</row>
    <row r="87" spans="9:23" customFormat="1" x14ac:dyDescent="0.25"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</row>
    <row r="88" spans="9:23" customFormat="1" x14ac:dyDescent="0.25"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</row>
    <row r="89" spans="9:23" customFormat="1" x14ac:dyDescent="0.25"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</row>
    <row r="90" spans="9:23" customFormat="1" x14ac:dyDescent="0.25"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</row>
    <row r="91" spans="9:23" customFormat="1" x14ac:dyDescent="0.25"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</row>
    <row r="92" spans="9:23" customFormat="1" x14ac:dyDescent="0.25"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</row>
    <row r="93" spans="9:23" customFormat="1" x14ac:dyDescent="0.25"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</row>
    <row r="94" spans="9:23" customFormat="1" x14ac:dyDescent="0.25"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</row>
    <row r="95" spans="9:23" customFormat="1" x14ac:dyDescent="0.25"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</row>
    <row r="96" spans="9:23" customFormat="1" x14ac:dyDescent="0.25"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</row>
    <row r="97" spans="9:23" customFormat="1" x14ac:dyDescent="0.25"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</row>
    <row r="98" spans="9:23" customFormat="1" x14ac:dyDescent="0.25"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</row>
    <row r="99" spans="9:23" customFormat="1" x14ac:dyDescent="0.25"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</row>
    <row r="100" spans="9:23" customFormat="1" x14ac:dyDescent="0.25"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</row>
    <row r="101" spans="9:23" customFormat="1" x14ac:dyDescent="0.25"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</row>
    <row r="102" spans="9:23" customFormat="1" x14ac:dyDescent="0.25"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</row>
    <row r="103" spans="9:23" customFormat="1" x14ac:dyDescent="0.25"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</row>
    <row r="104" spans="9:23" customFormat="1" x14ac:dyDescent="0.25"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</row>
    <row r="105" spans="9:23" customFormat="1" x14ac:dyDescent="0.25"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</row>
    <row r="106" spans="9:23" customFormat="1" x14ac:dyDescent="0.25"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</row>
    <row r="107" spans="9:23" customFormat="1" x14ac:dyDescent="0.25"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</row>
    <row r="108" spans="9:23" customFormat="1" x14ac:dyDescent="0.25"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</row>
    <row r="109" spans="9:23" customFormat="1" x14ac:dyDescent="0.25"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</row>
    <row r="110" spans="9:23" customFormat="1" x14ac:dyDescent="0.25"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</row>
    <row r="111" spans="9:23" customFormat="1" x14ac:dyDescent="0.25"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</row>
    <row r="112" spans="9:23" customFormat="1" x14ac:dyDescent="0.25"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</row>
    <row r="113" spans="9:23" customFormat="1" x14ac:dyDescent="0.25"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</row>
    <row r="114" spans="9:23" customFormat="1" x14ac:dyDescent="0.25"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</row>
    <row r="115" spans="9:23" customFormat="1" x14ac:dyDescent="0.25"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</row>
    <row r="116" spans="9:23" customFormat="1" x14ac:dyDescent="0.25"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</row>
    <row r="117" spans="9:23" customFormat="1" x14ac:dyDescent="0.25"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</row>
    <row r="118" spans="9:23" customFormat="1" x14ac:dyDescent="0.25"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</row>
    <row r="119" spans="9:23" customFormat="1" x14ac:dyDescent="0.25"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</row>
    <row r="120" spans="9:23" customFormat="1" x14ac:dyDescent="0.25"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</row>
    <row r="121" spans="9:23" customFormat="1" x14ac:dyDescent="0.25"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</row>
    <row r="122" spans="9:23" customFormat="1" x14ac:dyDescent="0.25"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</row>
    <row r="123" spans="9:23" customFormat="1" x14ac:dyDescent="0.25"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</row>
    <row r="124" spans="9:23" customFormat="1" x14ac:dyDescent="0.25"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</row>
    <row r="125" spans="9:23" customFormat="1" x14ac:dyDescent="0.25"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</row>
    <row r="126" spans="9:23" customFormat="1" x14ac:dyDescent="0.25"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</row>
    <row r="127" spans="9:23" customFormat="1" x14ac:dyDescent="0.25"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</row>
    <row r="128" spans="9:23" customFormat="1" x14ac:dyDescent="0.25"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</row>
    <row r="129" spans="9:23" customFormat="1" x14ac:dyDescent="0.25"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</row>
    <row r="130" spans="9:23" customFormat="1" x14ac:dyDescent="0.25"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</row>
    <row r="131" spans="9:23" customFormat="1" x14ac:dyDescent="0.25"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</row>
    <row r="132" spans="9:23" customFormat="1" x14ac:dyDescent="0.25"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</row>
    <row r="133" spans="9:23" customFormat="1" x14ac:dyDescent="0.25"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</row>
    <row r="134" spans="9:23" customFormat="1" x14ac:dyDescent="0.25"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</row>
    <row r="135" spans="9:23" customFormat="1" x14ac:dyDescent="0.25"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</row>
    <row r="136" spans="9:23" customFormat="1" x14ac:dyDescent="0.25"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</row>
    <row r="137" spans="9:23" customFormat="1" x14ac:dyDescent="0.25"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</row>
    <row r="138" spans="9:23" customFormat="1" x14ac:dyDescent="0.25"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</row>
    <row r="139" spans="9:23" customFormat="1" x14ac:dyDescent="0.25"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</row>
    <row r="140" spans="9:23" customFormat="1" x14ac:dyDescent="0.25"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</row>
    <row r="141" spans="9:23" customFormat="1" x14ac:dyDescent="0.25"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</row>
    <row r="142" spans="9:23" customFormat="1" x14ac:dyDescent="0.25"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</row>
    <row r="143" spans="9:23" customFormat="1" x14ac:dyDescent="0.25"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</row>
    <row r="144" spans="9:23" customFormat="1" x14ac:dyDescent="0.25"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</row>
    <row r="145" spans="9:23" customFormat="1" x14ac:dyDescent="0.25"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</row>
    <row r="146" spans="9:23" customFormat="1" x14ac:dyDescent="0.25"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</row>
    <row r="147" spans="9:23" customFormat="1" x14ac:dyDescent="0.25"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</row>
    <row r="148" spans="9:23" customFormat="1" x14ac:dyDescent="0.25"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</row>
    <row r="149" spans="9:23" customFormat="1" x14ac:dyDescent="0.25"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</row>
    <row r="150" spans="9:23" customFormat="1" x14ac:dyDescent="0.25"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</row>
    <row r="151" spans="9:23" customFormat="1" x14ac:dyDescent="0.25"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</row>
    <row r="152" spans="9:23" customFormat="1" x14ac:dyDescent="0.25"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</row>
    <row r="153" spans="9:23" customFormat="1" x14ac:dyDescent="0.25"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</row>
    <row r="154" spans="9:23" customFormat="1" x14ac:dyDescent="0.25"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</row>
    <row r="155" spans="9:23" customFormat="1" x14ac:dyDescent="0.25"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</row>
    <row r="156" spans="9:23" customFormat="1" x14ac:dyDescent="0.25"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</row>
    <row r="157" spans="9:23" customFormat="1" x14ac:dyDescent="0.25"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</row>
    <row r="158" spans="9:23" customFormat="1" x14ac:dyDescent="0.25"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</row>
    <row r="159" spans="9:23" customFormat="1" x14ac:dyDescent="0.25"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</row>
    <row r="160" spans="9:23" customFormat="1" x14ac:dyDescent="0.25"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</row>
    <row r="161" spans="9:23" customFormat="1" x14ac:dyDescent="0.25"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</row>
    <row r="162" spans="9:23" customFormat="1" x14ac:dyDescent="0.25"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</row>
    <row r="163" spans="9:23" customFormat="1" x14ac:dyDescent="0.25"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</row>
    <row r="164" spans="9:23" customFormat="1" x14ac:dyDescent="0.25"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</row>
    <row r="165" spans="9:23" customFormat="1" x14ac:dyDescent="0.25"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</row>
    <row r="166" spans="9:23" customFormat="1" x14ac:dyDescent="0.25"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</row>
    <row r="167" spans="9:23" customFormat="1" x14ac:dyDescent="0.25"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</row>
    <row r="168" spans="9:23" customFormat="1" x14ac:dyDescent="0.25"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</row>
    <row r="169" spans="9:23" customFormat="1" x14ac:dyDescent="0.25"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</row>
    <row r="170" spans="9:23" customFormat="1" x14ac:dyDescent="0.25"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</row>
    <row r="171" spans="9:23" customFormat="1" x14ac:dyDescent="0.25"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</row>
    <row r="172" spans="9:23" customFormat="1" x14ac:dyDescent="0.25"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</row>
    <row r="173" spans="9:23" customFormat="1" x14ac:dyDescent="0.25"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</row>
    <row r="174" spans="9:23" customFormat="1" x14ac:dyDescent="0.25"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</row>
    <row r="175" spans="9:23" customFormat="1" x14ac:dyDescent="0.25"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</row>
    <row r="176" spans="9:23" customFormat="1" x14ac:dyDescent="0.25"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</row>
    <row r="177" spans="9:23" customFormat="1" x14ac:dyDescent="0.25"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</row>
    <row r="178" spans="9:23" customFormat="1" x14ac:dyDescent="0.25"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</row>
    <row r="179" spans="9:23" customFormat="1" x14ac:dyDescent="0.25"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</row>
    <row r="180" spans="9:23" customFormat="1" x14ac:dyDescent="0.25"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</row>
    <row r="181" spans="9:23" customFormat="1" x14ac:dyDescent="0.25"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</row>
    <row r="182" spans="9:23" customFormat="1" x14ac:dyDescent="0.25"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</row>
    <row r="183" spans="9:23" customFormat="1" x14ac:dyDescent="0.25"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</row>
    <row r="184" spans="9:23" customFormat="1" x14ac:dyDescent="0.25"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</row>
    <row r="185" spans="9:23" customFormat="1" x14ac:dyDescent="0.25"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</row>
    <row r="186" spans="9:23" customFormat="1" x14ac:dyDescent="0.25"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</row>
    <row r="187" spans="9:23" customFormat="1" x14ac:dyDescent="0.25"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</row>
    <row r="188" spans="9:23" customFormat="1" x14ac:dyDescent="0.25"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</row>
    <row r="189" spans="9:23" customFormat="1" x14ac:dyDescent="0.25"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</row>
    <row r="190" spans="9:23" customFormat="1" x14ac:dyDescent="0.25"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</row>
    <row r="191" spans="9:23" customFormat="1" x14ac:dyDescent="0.25"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</row>
    <row r="192" spans="9:23" customFormat="1" x14ac:dyDescent="0.25"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</row>
    <row r="193" spans="9:23" customFormat="1" x14ac:dyDescent="0.25"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</row>
    <row r="194" spans="9:23" customFormat="1" x14ac:dyDescent="0.25"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</row>
    <row r="195" spans="9:23" customFormat="1" x14ac:dyDescent="0.25"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</row>
    <row r="196" spans="9:23" customFormat="1" x14ac:dyDescent="0.25"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</row>
    <row r="197" spans="9:23" customFormat="1" x14ac:dyDescent="0.25"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</row>
    <row r="198" spans="9:23" customFormat="1" x14ac:dyDescent="0.25"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</row>
    <row r="199" spans="9:23" customFormat="1" x14ac:dyDescent="0.25"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</row>
    <row r="200" spans="9:23" customFormat="1" x14ac:dyDescent="0.25"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</row>
    <row r="201" spans="9:23" customFormat="1" x14ac:dyDescent="0.25"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</row>
    <row r="202" spans="9:23" customFormat="1" x14ac:dyDescent="0.25"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</row>
    <row r="203" spans="9:23" customFormat="1" x14ac:dyDescent="0.25"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</row>
    <row r="204" spans="9:23" customFormat="1" x14ac:dyDescent="0.25"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</row>
    <row r="205" spans="9:23" customFormat="1" x14ac:dyDescent="0.25"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</row>
    <row r="206" spans="9:23" customFormat="1" x14ac:dyDescent="0.25"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</row>
    <row r="207" spans="9:23" customFormat="1" x14ac:dyDescent="0.25"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</row>
    <row r="208" spans="9:23" customFormat="1" x14ac:dyDescent="0.25"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</row>
    <row r="209" spans="9:23" customFormat="1" x14ac:dyDescent="0.25"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</row>
    <row r="210" spans="9:23" customFormat="1" x14ac:dyDescent="0.25"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</row>
    <row r="211" spans="9:23" customFormat="1" x14ac:dyDescent="0.25"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</row>
    <row r="212" spans="9:23" customFormat="1" x14ac:dyDescent="0.25"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</row>
    <row r="213" spans="9:23" customFormat="1" x14ac:dyDescent="0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</row>
    <row r="214" spans="9:23" customFormat="1" x14ac:dyDescent="0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</row>
    <row r="215" spans="9:23" customFormat="1" x14ac:dyDescent="0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</row>
    <row r="216" spans="9:23" customFormat="1" x14ac:dyDescent="0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</row>
    <row r="217" spans="9:23" customFormat="1" x14ac:dyDescent="0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</row>
    <row r="218" spans="9:23" customFormat="1" x14ac:dyDescent="0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</row>
    <row r="219" spans="9:23" customFormat="1" x14ac:dyDescent="0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</row>
    <row r="220" spans="9:23" customFormat="1" x14ac:dyDescent="0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</row>
    <row r="221" spans="9:23" customFormat="1" x14ac:dyDescent="0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</row>
    <row r="222" spans="9:23" customFormat="1" x14ac:dyDescent="0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</row>
    <row r="223" spans="9:23" customFormat="1" x14ac:dyDescent="0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</row>
    <row r="224" spans="9:23" customFormat="1" x14ac:dyDescent="0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</row>
    <row r="225" spans="9:23" customFormat="1" x14ac:dyDescent="0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</row>
    <row r="226" spans="9:23" customFormat="1" x14ac:dyDescent="0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</row>
    <row r="227" spans="9:23" customFormat="1" x14ac:dyDescent="0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</row>
    <row r="228" spans="9:23" customFormat="1" x14ac:dyDescent="0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</row>
    <row r="229" spans="9:23" customFormat="1" x14ac:dyDescent="0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</row>
    <row r="230" spans="9:23" customFormat="1" x14ac:dyDescent="0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</row>
    <row r="231" spans="9:23" customFormat="1" x14ac:dyDescent="0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</row>
    <row r="232" spans="9:23" customFormat="1" x14ac:dyDescent="0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</row>
    <row r="233" spans="9:23" customFormat="1" x14ac:dyDescent="0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</row>
    <row r="234" spans="9:23" customFormat="1" x14ac:dyDescent="0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</row>
    <row r="235" spans="9:23" customFormat="1" x14ac:dyDescent="0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</row>
    <row r="236" spans="9:23" customFormat="1" x14ac:dyDescent="0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</row>
    <row r="237" spans="9:23" customFormat="1" x14ac:dyDescent="0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</row>
    <row r="238" spans="9:23" customFormat="1" x14ac:dyDescent="0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</row>
    <row r="239" spans="9:23" customFormat="1" x14ac:dyDescent="0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</row>
    <row r="240" spans="9:23" customFormat="1" x14ac:dyDescent="0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</row>
    <row r="241" spans="9:23" customFormat="1" x14ac:dyDescent="0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</row>
    <row r="242" spans="9:23" customFormat="1" x14ac:dyDescent="0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</row>
    <row r="243" spans="9:23" customFormat="1" x14ac:dyDescent="0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</row>
    <row r="244" spans="9:23" customFormat="1" x14ac:dyDescent="0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</row>
    <row r="245" spans="9:23" customFormat="1" x14ac:dyDescent="0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</row>
    <row r="246" spans="9:23" customFormat="1" x14ac:dyDescent="0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</row>
    <row r="247" spans="9:23" customFormat="1" x14ac:dyDescent="0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</row>
    <row r="248" spans="9:23" customFormat="1" x14ac:dyDescent="0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</row>
    <row r="249" spans="9:23" customFormat="1" x14ac:dyDescent="0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</row>
    <row r="250" spans="9:23" customFormat="1" x14ac:dyDescent="0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</row>
    <row r="251" spans="9:23" customFormat="1" x14ac:dyDescent="0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</row>
    <row r="252" spans="9:23" customFormat="1" x14ac:dyDescent="0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</row>
    <row r="253" spans="9:23" customFormat="1" x14ac:dyDescent="0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</row>
    <row r="254" spans="9:23" customFormat="1" x14ac:dyDescent="0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</row>
    <row r="255" spans="9:23" customFormat="1" x14ac:dyDescent="0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</row>
    <row r="256" spans="9:23" customFormat="1" x14ac:dyDescent="0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</row>
    <row r="257" spans="9:23" customFormat="1" x14ac:dyDescent="0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</row>
    <row r="258" spans="9:23" customFormat="1" x14ac:dyDescent="0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</row>
    <row r="259" spans="9:23" customFormat="1" x14ac:dyDescent="0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</row>
    <row r="260" spans="9:23" customFormat="1" x14ac:dyDescent="0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</row>
    <row r="261" spans="9:23" customFormat="1" x14ac:dyDescent="0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</row>
    <row r="262" spans="9:23" customFormat="1" x14ac:dyDescent="0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</row>
    <row r="263" spans="9:23" customFormat="1" x14ac:dyDescent="0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</row>
    <row r="264" spans="9:23" customFormat="1" x14ac:dyDescent="0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</row>
    <row r="265" spans="9:23" customFormat="1" x14ac:dyDescent="0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</row>
    <row r="266" spans="9:23" customFormat="1" x14ac:dyDescent="0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</row>
    <row r="267" spans="9:23" customFormat="1" x14ac:dyDescent="0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</row>
    <row r="268" spans="9:23" customFormat="1" x14ac:dyDescent="0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</row>
    <row r="269" spans="9:23" customFormat="1" x14ac:dyDescent="0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</row>
    <row r="270" spans="9:23" customFormat="1" x14ac:dyDescent="0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</row>
    <row r="271" spans="9:23" customFormat="1" x14ac:dyDescent="0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</row>
    <row r="272" spans="9:23" customFormat="1" x14ac:dyDescent="0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</row>
    <row r="273" spans="9:23" customFormat="1" x14ac:dyDescent="0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</row>
    <row r="274" spans="9:23" customFormat="1" x14ac:dyDescent="0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</row>
    <row r="275" spans="9:23" customFormat="1" x14ac:dyDescent="0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</row>
    <row r="276" spans="9:23" customFormat="1" x14ac:dyDescent="0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</row>
    <row r="277" spans="9:23" customFormat="1" x14ac:dyDescent="0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</row>
    <row r="278" spans="9:23" customFormat="1" x14ac:dyDescent="0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</row>
    <row r="279" spans="9:23" customFormat="1" x14ac:dyDescent="0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</row>
    <row r="280" spans="9:23" customFormat="1" x14ac:dyDescent="0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</row>
    <row r="281" spans="9:23" customFormat="1" x14ac:dyDescent="0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</row>
    <row r="282" spans="9:23" customFormat="1" x14ac:dyDescent="0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</row>
    <row r="283" spans="9:23" customFormat="1" x14ac:dyDescent="0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</row>
    <row r="284" spans="9:23" customFormat="1" x14ac:dyDescent="0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</row>
    <row r="285" spans="9:23" customFormat="1" x14ac:dyDescent="0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</row>
    <row r="286" spans="9:23" customFormat="1" x14ac:dyDescent="0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</row>
    <row r="287" spans="9:23" customFormat="1" x14ac:dyDescent="0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</row>
    <row r="288" spans="9:23" customFormat="1" x14ac:dyDescent="0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</row>
    <row r="289" spans="9:23" customFormat="1" x14ac:dyDescent="0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</row>
    <row r="290" spans="9:23" customFormat="1" x14ac:dyDescent="0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</row>
    <row r="291" spans="9:23" customFormat="1" x14ac:dyDescent="0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</row>
    <row r="292" spans="9:23" customFormat="1" x14ac:dyDescent="0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</row>
    <row r="293" spans="9:23" customFormat="1" x14ac:dyDescent="0.25"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</row>
    <row r="294" spans="9:23" customFormat="1" x14ac:dyDescent="0.25"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</row>
    <row r="295" spans="9:23" customFormat="1" x14ac:dyDescent="0.25"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</row>
    <row r="296" spans="9:23" customFormat="1" x14ac:dyDescent="0.25"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</row>
    <row r="297" spans="9:23" customFormat="1" x14ac:dyDescent="0.25"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</row>
    <row r="298" spans="9:23" customFormat="1" x14ac:dyDescent="0.25"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</row>
    <row r="299" spans="9:23" customFormat="1" x14ac:dyDescent="0.25"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</row>
    <row r="300" spans="9:23" customFormat="1" x14ac:dyDescent="0.25"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</row>
    <row r="301" spans="9:23" customFormat="1" x14ac:dyDescent="0.25"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</row>
    <row r="302" spans="9:23" customFormat="1" x14ac:dyDescent="0.25"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</row>
    <row r="303" spans="9:23" customFormat="1" x14ac:dyDescent="0.25"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</row>
    <row r="304" spans="9:23" customFormat="1" x14ac:dyDescent="0.25"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</row>
    <row r="305" spans="9:23" customFormat="1" x14ac:dyDescent="0.25"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</row>
    <row r="306" spans="9:23" customFormat="1" x14ac:dyDescent="0.25"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</row>
    <row r="307" spans="9:23" customFormat="1" x14ac:dyDescent="0.25"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</row>
    <row r="308" spans="9:23" customFormat="1" x14ac:dyDescent="0.25"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</row>
    <row r="309" spans="9:23" customFormat="1" x14ac:dyDescent="0.25"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</row>
    <row r="310" spans="9:23" customFormat="1" x14ac:dyDescent="0.25"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</row>
    <row r="311" spans="9:23" customFormat="1" x14ac:dyDescent="0.25"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</row>
    <row r="312" spans="9:23" customFormat="1" x14ac:dyDescent="0.25"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</row>
    <row r="313" spans="9:23" customFormat="1" x14ac:dyDescent="0.25"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</row>
    <row r="314" spans="9:23" customFormat="1" x14ac:dyDescent="0.25"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</row>
    <row r="315" spans="9:23" customFormat="1" x14ac:dyDescent="0.25"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</row>
    <row r="316" spans="9:23" customFormat="1" x14ac:dyDescent="0.25"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</row>
    <row r="317" spans="9:23" customFormat="1" x14ac:dyDescent="0.25"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</row>
    <row r="318" spans="9:23" customFormat="1" x14ac:dyDescent="0.25"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</row>
    <row r="319" spans="9:23" customFormat="1" x14ac:dyDescent="0.25"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</row>
    <row r="320" spans="9:23" customFormat="1" x14ac:dyDescent="0.25"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</row>
    <row r="321" spans="9:23" customFormat="1" x14ac:dyDescent="0.25"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</row>
    <row r="322" spans="9:23" customFormat="1" x14ac:dyDescent="0.25"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</row>
    <row r="323" spans="9:23" customFormat="1" x14ac:dyDescent="0.25"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</row>
    <row r="324" spans="9:23" customFormat="1" x14ac:dyDescent="0.25"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</row>
    <row r="325" spans="9:23" customFormat="1" x14ac:dyDescent="0.25"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</row>
    <row r="326" spans="9:23" customFormat="1" x14ac:dyDescent="0.25"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</row>
    <row r="327" spans="9:23" customFormat="1" x14ac:dyDescent="0.25"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</row>
    <row r="328" spans="9:23" customFormat="1" x14ac:dyDescent="0.25"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</row>
    <row r="329" spans="9:23" customFormat="1" x14ac:dyDescent="0.25"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</row>
    <row r="330" spans="9:23" customFormat="1" x14ac:dyDescent="0.25"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</row>
    <row r="331" spans="9:23" customFormat="1" x14ac:dyDescent="0.25"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</row>
    <row r="332" spans="9:23" customFormat="1" x14ac:dyDescent="0.25"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</row>
    <row r="333" spans="9:23" customFormat="1" x14ac:dyDescent="0.25"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</row>
    <row r="334" spans="9:23" customFormat="1" x14ac:dyDescent="0.25"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</row>
    <row r="335" spans="9:23" customFormat="1" x14ac:dyDescent="0.25"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</row>
    <row r="336" spans="9:23" customFormat="1" x14ac:dyDescent="0.25"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</row>
    <row r="337" spans="9:23" customFormat="1" x14ac:dyDescent="0.25"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</row>
    <row r="338" spans="9:23" customFormat="1" x14ac:dyDescent="0.25"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</row>
    <row r="339" spans="9:23" customFormat="1" x14ac:dyDescent="0.25"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</row>
    <row r="340" spans="9:23" customFormat="1" x14ac:dyDescent="0.25"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</row>
    <row r="341" spans="9:23" customFormat="1" x14ac:dyDescent="0.25"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</row>
    <row r="342" spans="9:23" customFormat="1" x14ac:dyDescent="0.25"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</row>
    <row r="343" spans="9:23" customFormat="1" x14ac:dyDescent="0.25"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</row>
    <row r="344" spans="9:23" customFormat="1" x14ac:dyDescent="0.25"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</row>
    <row r="345" spans="9:23" customFormat="1" x14ac:dyDescent="0.25"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</row>
    <row r="346" spans="9:23" customFormat="1" x14ac:dyDescent="0.25"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</row>
    <row r="347" spans="9:23" customFormat="1" x14ac:dyDescent="0.25"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</row>
    <row r="348" spans="9:23" customFormat="1" x14ac:dyDescent="0.25"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</row>
    <row r="349" spans="9:23" customFormat="1" x14ac:dyDescent="0.25"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</row>
    <row r="350" spans="9:23" customFormat="1" x14ac:dyDescent="0.25"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</row>
    <row r="351" spans="9:23" customFormat="1" x14ac:dyDescent="0.25"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</row>
    <row r="352" spans="9:23" customFormat="1" x14ac:dyDescent="0.25"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</row>
    <row r="353" spans="9:23" customFormat="1" x14ac:dyDescent="0.25"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</row>
    <row r="354" spans="9:23" customFormat="1" x14ac:dyDescent="0.25"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</row>
    <row r="355" spans="9:23" customFormat="1" x14ac:dyDescent="0.25"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</row>
    <row r="356" spans="9:23" customFormat="1" x14ac:dyDescent="0.25"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</row>
    <row r="357" spans="9:23" customFormat="1" x14ac:dyDescent="0.25"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</row>
    <row r="358" spans="9:23" customFormat="1" x14ac:dyDescent="0.25"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</row>
    <row r="359" spans="9:23" customFormat="1" x14ac:dyDescent="0.25"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</row>
    <row r="360" spans="9:23" customFormat="1" x14ac:dyDescent="0.25"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</row>
    <row r="361" spans="9:23" customFormat="1" x14ac:dyDescent="0.25"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</row>
    <row r="362" spans="9:23" customFormat="1" x14ac:dyDescent="0.25"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</row>
    <row r="363" spans="9:23" customFormat="1" x14ac:dyDescent="0.25"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</row>
    <row r="364" spans="9:23" customFormat="1" x14ac:dyDescent="0.25"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</row>
    <row r="365" spans="9:23" customFormat="1" x14ac:dyDescent="0.25"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</row>
    <row r="366" spans="9:23" customFormat="1" x14ac:dyDescent="0.25"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</row>
    <row r="367" spans="9:23" customFormat="1" x14ac:dyDescent="0.25"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</row>
    <row r="368" spans="9:23" customFormat="1" x14ac:dyDescent="0.25"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</row>
    <row r="369" spans="9:23" customFormat="1" x14ac:dyDescent="0.25"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</row>
    <row r="370" spans="9:23" customFormat="1" x14ac:dyDescent="0.25"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</row>
    <row r="371" spans="9:23" customFormat="1" x14ac:dyDescent="0.25"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</row>
    <row r="372" spans="9:23" customFormat="1" x14ac:dyDescent="0.25"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</row>
    <row r="373" spans="9:23" customFormat="1" x14ac:dyDescent="0.25"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</row>
    <row r="374" spans="9:23" customFormat="1" x14ac:dyDescent="0.25"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</row>
    <row r="375" spans="9:23" customFormat="1" x14ac:dyDescent="0.25"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</row>
    <row r="376" spans="9:23" customFormat="1" x14ac:dyDescent="0.25"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</row>
    <row r="377" spans="9:23" customFormat="1" x14ac:dyDescent="0.25"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</row>
    <row r="378" spans="9:23" customFormat="1" x14ac:dyDescent="0.25"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</row>
    <row r="379" spans="9:23" customFormat="1" x14ac:dyDescent="0.25"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</row>
    <row r="380" spans="9:23" customFormat="1" x14ac:dyDescent="0.25"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</row>
    <row r="381" spans="9:23" customFormat="1" x14ac:dyDescent="0.25"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</row>
    <row r="382" spans="9:23" customFormat="1" x14ac:dyDescent="0.25"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</row>
    <row r="383" spans="9:23" customFormat="1" x14ac:dyDescent="0.25"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</row>
    <row r="384" spans="9:23" customFormat="1" x14ac:dyDescent="0.25"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</row>
    <row r="385" spans="9:23" customFormat="1" x14ac:dyDescent="0.25"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</row>
    <row r="386" spans="9:23" customFormat="1" x14ac:dyDescent="0.25"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</row>
    <row r="387" spans="9:23" customFormat="1" x14ac:dyDescent="0.25"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</row>
    <row r="388" spans="9:23" customFormat="1" x14ac:dyDescent="0.25"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</row>
    <row r="389" spans="9:23" customFormat="1" x14ac:dyDescent="0.25"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</row>
    <row r="390" spans="9:23" customFormat="1" x14ac:dyDescent="0.25"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</row>
    <row r="391" spans="9:23" customFormat="1" x14ac:dyDescent="0.25"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</row>
    <row r="392" spans="9:23" customFormat="1" x14ac:dyDescent="0.25"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</row>
    <row r="393" spans="9:23" customFormat="1" x14ac:dyDescent="0.25"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</row>
    <row r="394" spans="9:23" customFormat="1" x14ac:dyDescent="0.25"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</row>
    <row r="395" spans="9:23" customFormat="1" x14ac:dyDescent="0.25"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</row>
    <row r="396" spans="9:23" customFormat="1" x14ac:dyDescent="0.25"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</row>
    <row r="397" spans="9:23" customFormat="1" x14ac:dyDescent="0.25"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</row>
    <row r="398" spans="9:23" customFormat="1" x14ac:dyDescent="0.25"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</row>
    <row r="399" spans="9:23" customFormat="1" x14ac:dyDescent="0.25"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</row>
    <row r="400" spans="9:23" customFormat="1" x14ac:dyDescent="0.25"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</row>
    <row r="401" spans="9:23" customFormat="1" x14ac:dyDescent="0.25"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</row>
    <row r="402" spans="9:23" customFormat="1" x14ac:dyDescent="0.25"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</row>
    <row r="403" spans="9:23" customFormat="1" x14ac:dyDescent="0.25"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</row>
    <row r="404" spans="9:23" customFormat="1" x14ac:dyDescent="0.25"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</row>
    <row r="405" spans="9:23" customFormat="1" x14ac:dyDescent="0.25"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</row>
    <row r="406" spans="9:23" customFormat="1" x14ac:dyDescent="0.25"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</row>
    <row r="407" spans="9:23" customFormat="1" x14ac:dyDescent="0.25"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</row>
    <row r="408" spans="9:23" customFormat="1" x14ac:dyDescent="0.25"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</row>
    <row r="409" spans="9:23" customFormat="1" x14ac:dyDescent="0.25"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</row>
    <row r="410" spans="9:23" customFormat="1" x14ac:dyDescent="0.25"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</row>
    <row r="411" spans="9:23" customFormat="1" x14ac:dyDescent="0.25"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</row>
    <row r="412" spans="9:23" customFormat="1" x14ac:dyDescent="0.25"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</row>
    <row r="413" spans="9:23" customFormat="1" x14ac:dyDescent="0.25"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</row>
    <row r="414" spans="9:23" customFormat="1" x14ac:dyDescent="0.25"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</row>
    <row r="415" spans="9:23" customFormat="1" x14ac:dyDescent="0.25"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</row>
    <row r="416" spans="9:23" customFormat="1" x14ac:dyDescent="0.25"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</row>
    <row r="417" spans="9:23" customFormat="1" x14ac:dyDescent="0.25"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</row>
    <row r="418" spans="9:23" customFormat="1" x14ac:dyDescent="0.25"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</row>
    <row r="419" spans="9:23" customFormat="1" x14ac:dyDescent="0.25"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</row>
    <row r="420" spans="9:23" customFormat="1" x14ac:dyDescent="0.25"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</row>
    <row r="421" spans="9:23" customFormat="1" x14ac:dyDescent="0.25"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</row>
    <row r="422" spans="9:23" customFormat="1" x14ac:dyDescent="0.25"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</row>
    <row r="423" spans="9:23" customFormat="1" x14ac:dyDescent="0.25"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</row>
    <row r="424" spans="9:23" customFormat="1" x14ac:dyDescent="0.25"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</row>
    <row r="425" spans="9:23" customFormat="1" x14ac:dyDescent="0.25"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</row>
    <row r="426" spans="9:23" customFormat="1" x14ac:dyDescent="0.25"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</row>
    <row r="427" spans="9:23" customFormat="1" x14ac:dyDescent="0.25"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</row>
    <row r="428" spans="9:23" customFormat="1" x14ac:dyDescent="0.25"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</row>
    <row r="429" spans="9:23" customFormat="1" x14ac:dyDescent="0.25"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</row>
    <row r="430" spans="9:23" customFormat="1" x14ac:dyDescent="0.25"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</row>
    <row r="431" spans="9:23" customFormat="1" x14ac:dyDescent="0.25"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</row>
    <row r="432" spans="9:23" customFormat="1" x14ac:dyDescent="0.25"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</row>
    <row r="433" spans="9:23" customFormat="1" x14ac:dyDescent="0.25"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</row>
    <row r="434" spans="9:23" customFormat="1" x14ac:dyDescent="0.25"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</row>
    <row r="435" spans="9:23" customFormat="1" x14ac:dyDescent="0.25"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</row>
    <row r="436" spans="9:23" customFormat="1" x14ac:dyDescent="0.25"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</row>
    <row r="437" spans="9:23" customFormat="1" x14ac:dyDescent="0.25"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</row>
    <row r="438" spans="9:23" customFormat="1" x14ac:dyDescent="0.25"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</row>
    <row r="439" spans="9:23" customFormat="1" x14ac:dyDescent="0.25"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</row>
    <row r="440" spans="9:23" customFormat="1" x14ac:dyDescent="0.25"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</row>
    <row r="441" spans="9:23" customFormat="1" x14ac:dyDescent="0.25"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</row>
    <row r="442" spans="9:23" customFormat="1" x14ac:dyDescent="0.25"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</row>
    <row r="443" spans="9:23" customFormat="1" x14ac:dyDescent="0.25"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</row>
    <row r="444" spans="9:23" customFormat="1" x14ac:dyDescent="0.25"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</row>
    <row r="445" spans="9:23" customFormat="1" x14ac:dyDescent="0.25"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</row>
    <row r="446" spans="9:23" customFormat="1" x14ac:dyDescent="0.25"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</row>
    <row r="447" spans="9:23" customFormat="1" x14ac:dyDescent="0.25"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</row>
    <row r="448" spans="9:23" customFormat="1" x14ac:dyDescent="0.25"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</row>
    <row r="449" spans="9:23" customFormat="1" x14ac:dyDescent="0.25"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</row>
    <row r="450" spans="9:23" customFormat="1" x14ac:dyDescent="0.25"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</row>
    <row r="451" spans="9:23" customFormat="1" x14ac:dyDescent="0.25"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</row>
    <row r="452" spans="9:23" customFormat="1" x14ac:dyDescent="0.25"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</row>
    <row r="453" spans="9:23" customFormat="1" x14ac:dyDescent="0.25"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</row>
    <row r="454" spans="9:23" customFormat="1" x14ac:dyDescent="0.25"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</row>
    <row r="455" spans="9:23" customFormat="1" x14ac:dyDescent="0.25"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</row>
    <row r="456" spans="9:23" customFormat="1" x14ac:dyDescent="0.25"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</row>
    <row r="457" spans="9:23" customFormat="1" x14ac:dyDescent="0.25"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</row>
    <row r="458" spans="9:23" customFormat="1" x14ac:dyDescent="0.25"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</row>
    <row r="459" spans="9:23" customFormat="1" x14ac:dyDescent="0.25"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</row>
    <row r="460" spans="9:23" customFormat="1" x14ac:dyDescent="0.25"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</row>
    <row r="461" spans="9:23" customFormat="1" x14ac:dyDescent="0.25"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</row>
    <row r="462" spans="9:23" customFormat="1" x14ac:dyDescent="0.25"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</row>
    <row r="463" spans="9:23" customFormat="1" x14ac:dyDescent="0.25"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</row>
    <row r="464" spans="9:23" customFormat="1" x14ac:dyDescent="0.25"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</row>
    <row r="465" spans="9:23" customFormat="1" x14ac:dyDescent="0.25"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</row>
    <row r="466" spans="9:23" customFormat="1" x14ac:dyDescent="0.25"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</row>
    <row r="467" spans="9:23" customFormat="1" x14ac:dyDescent="0.25"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</row>
    <row r="468" spans="9:23" customFormat="1" x14ac:dyDescent="0.25"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</row>
    <row r="469" spans="9:23" customFormat="1" x14ac:dyDescent="0.25"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</row>
    <row r="470" spans="9:23" customFormat="1" x14ac:dyDescent="0.25"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</row>
    <row r="471" spans="9:23" customFormat="1" x14ac:dyDescent="0.25"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</row>
    <row r="472" spans="9:23" customFormat="1" x14ac:dyDescent="0.25"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</row>
    <row r="473" spans="9:23" customFormat="1" x14ac:dyDescent="0.25"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</row>
    <row r="474" spans="9:23" customFormat="1" x14ac:dyDescent="0.25"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</row>
    <row r="475" spans="9:23" customFormat="1" x14ac:dyDescent="0.25"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</row>
    <row r="476" spans="9:23" customFormat="1" x14ac:dyDescent="0.25"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</row>
    <row r="477" spans="9:23" customFormat="1" x14ac:dyDescent="0.25"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</row>
    <row r="478" spans="9:23" customFormat="1" x14ac:dyDescent="0.25"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</row>
    <row r="479" spans="9:23" customFormat="1" x14ac:dyDescent="0.25"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</row>
    <row r="480" spans="9:23" customFormat="1" x14ac:dyDescent="0.25"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</row>
    <row r="481" spans="9:23" customFormat="1" x14ac:dyDescent="0.25"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</row>
    <row r="482" spans="9:23" customFormat="1" x14ac:dyDescent="0.25"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</row>
    <row r="483" spans="9:23" customFormat="1" x14ac:dyDescent="0.25"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</row>
    <row r="484" spans="9:23" customFormat="1" x14ac:dyDescent="0.25"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</row>
    <row r="485" spans="9:23" customFormat="1" x14ac:dyDescent="0.25"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</row>
    <row r="486" spans="9:23" customFormat="1" x14ac:dyDescent="0.25"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</row>
    <row r="487" spans="9:23" customFormat="1" x14ac:dyDescent="0.25"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</row>
    <row r="488" spans="9:23" customFormat="1" x14ac:dyDescent="0.25"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</row>
    <row r="489" spans="9:23" customFormat="1" x14ac:dyDescent="0.25"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</row>
    <row r="490" spans="9:23" customFormat="1" x14ac:dyDescent="0.25"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</row>
    <row r="491" spans="9:23" customFormat="1" x14ac:dyDescent="0.25"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</row>
    <row r="492" spans="9:23" customFormat="1" x14ac:dyDescent="0.25"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</row>
    <row r="493" spans="9:23" customFormat="1" x14ac:dyDescent="0.25"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</row>
    <row r="494" spans="9:23" customFormat="1" x14ac:dyDescent="0.25"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</row>
    <row r="495" spans="9:23" customFormat="1" x14ac:dyDescent="0.25"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</row>
    <row r="496" spans="9:23" customFormat="1" x14ac:dyDescent="0.25"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</row>
    <row r="497" spans="9:23" customFormat="1" x14ac:dyDescent="0.25"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">
                <anchor>
                  <from>
                    <xdr:col>0</xdr:col>
                    <xdr:colOff>190500</xdr:colOff>
                    <xdr:row>0</xdr:row>
                    <xdr:rowOff>390525</xdr:rowOff>
                  </from>
                  <to>
                    <xdr:col>1</xdr:col>
                    <xdr:colOff>466725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">
                <anchor>
                  <from>
                    <xdr:col>1</xdr:col>
                    <xdr:colOff>638175</xdr:colOff>
                    <xdr:row>0</xdr:row>
                    <xdr:rowOff>295275</xdr:rowOff>
                  </from>
                  <to>
                    <xdr:col>1</xdr:col>
                    <xdr:colOff>1552575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">
                <anchor>
                  <from>
                    <xdr:col>2</xdr:col>
                    <xdr:colOff>790575</xdr:colOff>
                    <xdr:row>0</xdr:row>
                    <xdr:rowOff>371475</xdr:rowOff>
                  </from>
                  <to>
                    <xdr:col>6</xdr:col>
                    <xdr:colOff>752475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085CEC-4F52-4813-9F58-77A6CA9DFC2E}">
          <x14:formula1>
            <xm:f>Path!$F$2:$F$12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B2B-73BF-43D9-B5B6-145FC670F2C2}">
  <sheetPr codeName="Sheet4"/>
  <dimension ref="A1:G12"/>
  <sheetViews>
    <sheetView workbookViewId="0">
      <selection activeCell="B2" sqref="B2"/>
    </sheetView>
  </sheetViews>
  <sheetFormatPr defaultRowHeight="15" x14ac:dyDescent="0.25"/>
  <cols>
    <col min="1" max="1" width="58.7109375" bestFit="1" customWidth="1"/>
    <col min="2" max="2" width="21.42578125" customWidth="1"/>
    <col min="6" max="6" width="28.28515625" customWidth="1"/>
    <col min="7" max="7" width="10.42578125" customWidth="1"/>
  </cols>
  <sheetData>
    <row r="1" spans="1:7" x14ac:dyDescent="0.25">
      <c r="A1" t="s">
        <v>13</v>
      </c>
      <c r="B1" t="s">
        <v>16</v>
      </c>
      <c r="F1" s="2" t="s">
        <v>10</v>
      </c>
      <c r="G1" s="2" t="s">
        <v>14</v>
      </c>
    </row>
    <row r="2" spans="1:7" x14ac:dyDescent="0.25">
      <c r="A2" t="s">
        <v>38</v>
      </c>
      <c r="B2" t="s">
        <v>32</v>
      </c>
      <c r="F2" t="s">
        <v>15</v>
      </c>
      <c r="G2">
        <v>0</v>
      </c>
    </row>
    <row r="3" spans="1:7" x14ac:dyDescent="0.25">
      <c r="F3" t="s">
        <v>0</v>
      </c>
      <c r="G3">
        <v>7</v>
      </c>
    </row>
    <row r="4" spans="1:7" x14ac:dyDescent="0.25">
      <c r="F4" t="s">
        <v>1</v>
      </c>
      <c r="G4">
        <v>12</v>
      </c>
    </row>
    <row r="5" spans="1:7" x14ac:dyDescent="0.25">
      <c r="F5" t="s">
        <v>3</v>
      </c>
      <c r="G5">
        <v>11</v>
      </c>
    </row>
    <row r="6" spans="1:7" x14ac:dyDescent="0.25">
      <c r="F6" t="s">
        <v>2</v>
      </c>
      <c r="G6">
        <v>10</v>
      </c>
    </row>
    <row r="7" spans="1:7" x14ac:dyDescent="0.25">
      <c r="F7" t="s">
        <v>4</v>
      </c>
      <c r="G7">
        <v>1</v>
      </c>
    </row>
    <row r="8" spans="1:7" x14ac:dyDescent="0.25">
      <c r="F8" t="s">
        <v>5</v>
      </c>
      <c r="G8">
        <v>2</v>
      </c>
    </row>
    <row r="9" spans="1:7" x14ac:dyDescent="0.25">
      <c r="F9" t="s">
        <v>6</v>
      </c>
      <c r="G9">
        <v>4</v>
      </c>
    </row>
    <row r="10" spans="1:7" x14ac:dyDescent="0.25">
      <c r="F10" t="s">
        <v>7</v>
      </c>
      <c r="G10">
        <v>3</v>
      </c>
    </row>
    <row r="11" spans="1:7" x14ac:dyDescent="0.25">
      <c r="F11" t="s">
        <v>8</v>
      </c>
      <c r="G11">
        <v>5</v>
      </c>
    </row>
    <row r="12" spans="1:7" x14ac:dyDescent="0.25">
      <c r="F12" t="s">
        <v>9</v>
      </c>
      <c r="G12">
        <v>6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F0CB2A-B3BB-4532-A7B3-ABB240A0D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LineList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e1234958</dc:creator>
  <cp:lastModifiedBy>e1234958</cp:lastModifiedBy>
  <dcterms:created xsi:type="dcterms:W3CDTF">2021-06-25T10:46:31Z</dcterms:created>
  <dcterms:modified xsi:type="dcterms:W3CDTF">2021-09-29T13:07:42Z</dcterms:modified>
</cp:coreProperties>
</file>